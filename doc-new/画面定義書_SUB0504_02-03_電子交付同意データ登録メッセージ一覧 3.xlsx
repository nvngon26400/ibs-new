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6"/>
  <fileSharing readOnlyRecommended="1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ROOT\WIP\IFA Portal\2.システム内レビュー\SUB0504_02_電子交付同意データ登録\"/>
    </mc:Choice>
  </mc:AlternateContent>
  <xr:revisionPtr revIDLastSave="0" documentId="8_{175BA8E3-2AD8-4B73-B767-3539055BC717}" xr6:coauthVersionLast="47" xr6:coauthVersionMax="47" xr10:uidLastSave="{00000000-0000-0000-0000-000000000000}"/>
  <bookViews>
    <workbookView xWindow="0" yWindow="0" windowWidth="28800" windowHeight="12375" tabRatio="812" xr2:uid="{00000000-000D-0000-FFFF-FFFF00000000}"/>
  </bookViews>
  <sheets>
    <sheet name="表紙" sheetId="2" r:id="rId1"/>
    <sheet name="変更履歴" sheetId="3" r:id="rId2"/>
    <sheet name="目次" sheetId="95" r:id="rId3"/>
    <sheet name="概要" sheetId="44" r:id="rId4"/>
    <sheet name="画面レイアウト" sheetId="11" r:id="rId5"/>
    <sheet name="画面項目定義" sheetId="93" r:id="rId6"/>
    <sheet name="Action定義" sheetId="7" r:id="rId7"/>
    <sheet name="リスト" sheetId="38" state="hidden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6" hidden="1">Action定義!$A$2:$N$3</definedName>
    <definedName name="_xlnm._FilterDatabase" localSheetId="5" hidden="1">画面項目定義!$A$3:$AF$9</definedName>
    <definedName name="_xlnm._FilterDatabase" localSheetId="3" hidden="1">[1]改訂履歴!#REF!</definedName>
    <definedName name="_xlnm._FilterDatabase" localSheetId="2" hidden="1">[1]改訂履歴!#REF!</definedName>
    <definedName name="_xlnm._FilterDatabase" hidden="1">[1]改訂履歴!#REF!</definedName>
    <definedName name="Access_Button" hidden="1">"外証デー他項目管理__テーブル項目説明原紙_List"</definedName>
    <definedName name="AccessDatabase" hidden="1">"C:\WINNT\Profiles\gotanda\ﾃﾞｽｸﾄｯﾌﾟ\自動生成\外証デー他項目管理 .mdb"</definedName>
    <definedName name="C_001_A003">#REF!</definedName>
    <definedName name="C_001_A004">#REF!</definedName>
    <definedName name="C_001_A006">#REF!</definedName>
    <definedName name="C_001_B001">#REF!</definedName>
    <definedName name="DB_BLOCK_SIZE">#REF!</definedName>
    <definedName name="DB_TYPE">[2]各種データ!$A$2:$A$6</definedName>
    <definedName name="DBMS">[3]マスタ!$B$3:$B$5</definedName>
    <definedName name="DB名">[3]マスタ!$D$3:$D$11</definedName>
    <definedName name="EDELIVE_AGREEMENT_KBN">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MAIL_BM_FLG">#REF!</definedName>
    <definedName name="MYSQL_DATA_TYPE">[2]各種データ!$D$2:$D$30</definedName>
    <definedName name="NotNull">#REF!</definedName>
    <definedName name="ORACLE_DATA_TYPE">[2]各種データ!$B$2:$B$20</definedName>
    <definedName name="POSTGRESQL_DATA_TYPE">[2]各種データ!$F$2:$F$25</definedName>
    <definedName name="_xlnm.Print_Titles" localSheetId="6">Action定義!$1:$2</definedName>
    <definedName name="_xlnm.Print_Titles" localSheetId="4">画面レイアウト!#REF!</definedName>
    <definedName name="_xlnm.Print_Titles" localSheetId="5">画面項目定義!#REF!</definedName>
    <definedName name="SELECTED_DB">#REF!</definedName>
    <definedName name="SQLITE_DATA_TYPE">[2]各種データ!$E$2:$E$6</definedName>
    <definedName name="SQLSVR_DATA_TYPE">[2]各種データ!$C$2:$C$31</definedName>
    <definedName name="TABLE_LIST">#REF!</definedName>
    <definedName name="TABLE_LIST_DEF">#REF!</definedName>
    <definedName name="_xlnm.Print_Area" localSheetId="6">Action定義!$A$1:$H$4</definedName>
    <definedName name="_xlnm.Print_Area" localSheetId="4">画面レイアウト!$A$1:$CC$27</definedName>
    <definedName name="_xlnm.Print_Area" localSheetId="5">画面項目定義!$A$1:$X$10</definedName>
    <definedName name="_xlnm.Print_Area" localSheetId="3">概要!$A$1:$P$23</definedName>
    <definedName name="_xlnm.Print_Area" localSheetId="0">表紙!$A$1:$AY$45</definedName>
    <definedName name="_xlnm.Print_Area" localSheetId="1">変更履歴!$A$1:$L$34</definedName>
    <definedName name="インデックス情報">#REF!</definedName>
    <definedName name="カラム情報">#REF!</definedName>
    <definedName name="サービス">[3]マスタ!$G$3:$G$26</definedName>
    <definedName name="スキーマ名">[3]マスタ!$E$3:$E$21</definedName>
    <definedName name="スキーマ名入力">#REF!</definedName>
    <definedName name="データサイクル">[3]マスタ!$H$3:$H$6</definedName>
    <definedName name="データ型">[4]マスタ!$C$3:$C$8</definedName>
    <definedName name="テーブル情報">#REF!</definedName>
    <definedName name="テーブル種別">[3]マスタ!$I$3:$I$5</definedName>
    <definedName name="入力チェック">#REF!</definedName>
    <definedName name="分類">[3]マスタ!$F$3:$F$12</definedName>
    <definedName name="別紙" hidden="1">[5]改訂履歴!#REF!</definedName>
    <definedName name="物理テーブル名入力">#REF!</definedName>
    <definedName name="論理テーブル名入力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93" l="1"/>
  <c r="B7" i="93"/>
  <c r="B9" i="93" l="1"/>
  <c r="B5" i="93"/>
  <c r="B8" i="93"/>
  <c r="J53" i="2" l="1"/>
  <c r="J25" i="2" l="1"/>
  <c r="B4" i="93" l="1"/>
  <c r="J1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Takashi Kikuchi</author>
    <author>Naoya Mizukami</author>
  </authors>
  <commentList>
    <comment ref="P2" authorId="0" shapeId="0" xr:uid="{E34A7371-D16D-4A09-BF2F-8BE20E505771}">
      <text>
        <r>
          <rPr>
            <sz val="9"/>
            <color indexed="81"/>
            <rFont val="MS P ゴシック"/>
            <family val="3"/>
            <charset val="128"/>
          </rPr>
          <t xml:space="preserve">入力項目のみ記載
</t>
        </r>
      </text>
    </comment>
    <comment ref="Q2" authorId="1" shapeId="0" xr:uid="{DBF4E5FA-84FA-4AC2-9BFF-1C7D4B112CB4}">
      <text>
        <r>
          <rPr>
            <b/>
            <sz val="9"/>
            <color indexed="81"/>
            <rFont val="MS P ゴシック"/>
            <family val="3"/>
            <charset val="128"/>
          </rPr>
          <t>カンマ、小数点含まず</t>
        </r>
      </text>
    </comment>
    <comment ref="U2" authorId="1" shapeId="0" xr:uid="{D1230643-C0D2-4975-8D54-BD92AFDCAE51}">
      <text>
        <r>
          <rPr>
            <b/>
            <sz val="9"/>
            <color indexed="81"/>
            <rFont val="MS P ゴシック"/>
            <family val="3"/>
            <charset val="128"/>
          </rPr>
          <t>○：活性
×：非活性
▲：条件により、活性を設定</t>
        </r>
      </text>
    </comment>
  </commentList>
</comments>
</file>

<file path=xl/sharedStrings.xml><?xml version="1.0" encoding="utf-8"?>
<sst xmlns="http://schemas.openxmlformats.org/spreadsheetml/2006/main" count="516" uniqueCount="240">
  <si>
    <t>Ver1.00</t>
    <phoneticPr fontId="7"/>
  </si>
  <si>
    <t>ドキュメント情報</t>
    <rPh sb="6" eb="8">
      <t>ジョウホウ</t>
    </rPh>
    <phoneticPr fontId="0"/>
  </si>
  <si>
    <t>ドキュメント名称</t>
  </si>
  <si>
    <t>電子交付同意データ登録メッセージ一覧</t>
  </si>
  <si>
    <t>作成更新日</t>
    <rPh sb="0" eb="2">
      <t>サクセイ</t>
    </rPh>
    <rPh sb="2" eb="5">
      <t>コウシンビ</t>
    </rPh>
    <phoneticPr fontId="0"/>
  </si>
  <si>
    <t>変更履歴</t>
    <rPh sb="0" eb="2">
      <t>ヘンコウ</t>
    </rPh>
    <rPh sb="2" eb="4">
      <t>リレキ</t>
    </rPh>
    <phoneticPr fontId="0"/>
  </si>
  <si>
    <t>No</t>
    <phoneticPr fontId="0"/>
  </si>
  <si>
    <t>ver</t>
  </si>
  <si>
    <t>課題管理番号</t>
    <rPh sb="0" eb="2">
      <t>カダイ</t>
    </rPh>
    <rPh sb="2" eb="6">
      <t>カンリバンゴウ</t>
    </rPh>
    <phoneticPr fontId="7"/>
  </si>
  <si>
    <t>変更日付</t>
    <rPh sb="0" eb="2">
      <t>ヘンコウ</t>
    </rPh>
    <rPh sb="2" eb="4">
      <t>ヒヅケ</t>
    </rPh>
    <phoneticPr fontId="0"/>
  </si>
  <si>
    <t>変更者</t>
  </si>
  <si>
    <t>シート名</t>
    <rPh sb="3" eb="4">
      <t>メイ</t>
    </rPh>
    <phoneticPr fontId="7"/>
  </si>
  <si>
    <t>変更内容</t>
    <rPh sb="0" eb="2">
      <t>ヘンコウ</t>
    </rPh>
    <rPh sb="2" eb="4">
      <t>ナイヨウ</t>
    </rPh>
    <phoneticPr fontId="0"/>
  </si>
  <si>
    <t>変更区分</t>
    <rPh sb="0" eb="2">
      <t>ヘンコウ</t>
    </rPh>
    <rPh sb="2" eb="4">
      <t>クブン</t>
    </rPh>
    <phoneticPr fontId="0"/>
  </si>
  <si>
    <t>承認日付</t>
    <rPh sb="0" eb="2">
      <t>ショウニン</t>
    </rPh>
    <rPh sb="2" eb="4">
      <t>ヒヅケ</t>
    </rPh>
    <phoneticPr fontId="0"/>
  </si>
  <si>
    <t>承認者</t>
    <rPh sb="0" eb="2">
      <t>ショウニン</t>
    </rPh>
    <phoneticPr fontId="7"/>
  </si>
  <si>
    <t>備考</t>
    <rPh sb="0" eb="2">
      <t>ビコウ</t>
    </rPh>
    <phoneticPr fontId="0"/>
  </si>
  <si>
    <t>0001</t>
  </si>
  <si>
    <t>1.00</t>
    <phoneticPr fontId="7"/>
  </si>
  <si>
    <t>EM003404</t>
    <phoneticPr fontId="7"/>
  </si>
  <si>
    <t>SBIFPT</t>
  </si>
  <si>
    <t>全体</t>
    <phoneticPr fontId="7"/>
  </si>
  <si>
    <t>新規作成</t>
  </si>
  <si>
    <t>目次</t>
    <rPh sb="0" eb="2">
      <t>モクジ</t>
    </rPh>
    <phoneticPr fontId="0"/>
  </si>
  <si>
    <t>シート</t>
    <phoneticPr fontId="7"/>
  </si>
  <si>
    <t>要否</t>
  </si>
  <si>
    <t>補足（Action詳細シートの場合のアクション名称など）</t>
    <rPh sb="0" eb="2">
      <t>ホソク</t>
    </rPh>
    <rPh sb="9" eb="11">
      <t>ショウサイ</t>
    </rPh>
    <rPh sb="15" eb="17">
      <t>バアイ</t>
    </rPh>
    <rPh sb="23" eb="25">
      <t>メイショウ</t>
    </rPh>
    <phoneticPr fontId="0"/>
  </si>
  <si>
    <t>表紙</t>
  </si>
  <si>
    <t>変更履歴</t>
  </si>
  <si>
    <t>目次</t>
  </si>
  <si>
    <t>概要</t>
  </si>
  <si>
    <t>画面レイアウト</t>
  </si>
  <si>
    <t>画面項目定義</t>
  </si>
  <si>
    <t>Action定義</t>
  </si>
  <si>
    <t>Actionパラメータ</t>
  </si>
  <si>
    <t>不要</t>
  </si>
  <si>
    <t>API詳細</t>
  </si>
  <si>
    <t>共通関数詳細</t>
  </si>
  <si>
    <t>SQL定義</t>
  </si>
  <si>
    <t>ファイル項目定義(CSV出力)</t>
  </si>
  <si>
    <t>ファイル項目定義(ファイル取込)</t>
  </si>
  <si>
    <t>入力チェック</t>
  </si>
  <si>
    <t>削除区分</t>
    <rPh sb="0" eb="4">
      <t>サクジョクブン</t>
    </rPh>
    <phoneticPr fontId="7"/>
  </si>
  <si>
    <t>課題管理番号</t>
    <rPh sb="0" eb="2">
      <t>カダイ</t>
    </rPh>
    <rPh sb="2" eb="4">
      <t>カンリ</t>
    </rPh>
    <rPh sb="4" eb="6">
      <t>バンゴウ</t>
    </rPh>
    <phoneticPr fontId="7"/>
  </si>
  <si>
    <t>変更内容</t>
    <rPh sb="0" eb="4">
      <t>ヘンコウナイヨウ</t>
    </rPh>
    <phoneticPr fontId="7"/>
  </si>
  <si>
    <t>（レビュー管理No）</t>
    <rPh sb="5" eb="7">
      <t>カンリ</t>
    </rPh>
    <phoneticPr fontId="7"/>
  </si>
  <si>
    <t>変更履歴紐づけ</t>
    <rPh sb="0" eb="4">
      <t>ヘンコウリレキ</t>
    </rPh>
    <rPh sb="4" eb="5">
      <t>ヒモ</t>
    </rPh>
    <phoneticPr fontId="7"/>
  </si>
  <si>
    <t>処理概要</t>
  </si>
  <si>
    <t>本画面は、電子交付同意データ登録処理において発生したエラー内容（NGデータ）を一覧表示するポップアップ画面である。</t>
  </si>
  <si>
    <t>画面遷移</t>
    <rPh sb="0" eb="2">
      <t>ガメン</t>
    </rPh>
    <rPh sb="2" eb="4">
      <t>センイ</t>
    </rPh>
    <phoneticPr fontId="7"/>
  </si>
  <si>
    <t>ActionID</t>
    <phoneticPr fontId="7"/>
  </si>
  <si>
    <t>画面ID</t>
    <rPh sb="0" eb="2">
      <t>ガメン</t>
    </rPh>
    <phoneticPr fontId="7"/>
  </si>
  <si>
    <t>画面日本語名称</t>
    <rPh sb="0" eb="2">
      <t>ガメン</t>
    </rPh>
    <rPh sb="2" eb="7">
      <t>ニホンゴメイショウ</t>
    </rPh>
    <phoneticPr fontId="7"/>
  </si>
  <si>
    <t>遷移</t>
    <rPh sb="0" eb="2">
      <t>センイ</t>
    </rPh>
    <phoneticPr fontId="7"/>
  </si>
  <si>
    <t>遷移先ActionID</t>
    <rPh sb="0" eb="3">
      <t>センイサキ</t>
    </rPh>
    <phoneticPr fontId="7"/>
  </si>
  <si>
    <t>画面遷移パターン</t>
    <rPh sb="0" eb="4">
      <t>ガメンセンイ</t>
    </rPh>
    <phoneticPr fontId="7"/>
  </si>
  <si>
    <t>備考</t>
    <rPh sb="0" eb="2">
      <t>ビコウ</t>
    </rPh>
    <phoneticPr fontId="7"/>
  </si>
  <si>
    <t>A006</t>
  </si>
  <si>
    <t>SUB0504_02-03</t>
  </si>
  <si>
    <t>遷移先</t>
  </si>
  <si>
    <t>A002</t>
  </si>
  <si>
    <t>詳細ポップアップ遷移</t>
  </si>
  <si>
    <t>共通関数</t>
    <rPh sb="0" eb="4">
      <t>キョウツウカンスウ</t>
    </rPh>
    <phoneticPr fontId="7"/>
  </si>
  <si>
    <t>共通関数ID</t>
    <rPh sb="0" eb="4">
      <t>キョウツウカンスウ</t>
    </rPh>
    <phoneticPr fontId="7"/>
  </si>
  <si>
    <t>共通関数名称</t>
    <rPh sb="0" eb="4">
      <t>キョウツウカンスウ</t>
    </rPh>
    <rPh sb="4" eb="6">
      <t>メイショウ</t>
    </rPh>
    <phoneticPr fontId="7"/>
  </si>
  <si>
    <t>共通関数日本語名称</t>
    <rPh sb="0" eb="4">
      <t>キョウツウカンスウ</t>
    </rPh>
    <rPh sb="4" eb="9">
      <t>ニホンゴメイショウ</t>
    </rPh>
    <phoneticPr fontId="7"/>
  </si>
  <si>
    <t>参照</t>
    <rPh sb="0" eb="2">
      <t>サンショウ</t>
    </rPh>
    <phoneticPr fontId="7"/>
  </si>
  <si>
    <t>更新</t>
    <rPh sb="0" eb="2">
      <t>コウシン</t>
    </rPh>
    <phoneticPr fontId="7"/>
  </si>
  <si>
    <t>なし</t>
    <phoneticPr fontId="7"/>
  </si>
  <si>
    <t>-</t>
  </si>
  <si>
    <t>API</t>
  </si>
  <si>
    <t>APIID</t>
  </si>
  <si>
    <t>API名称</t>
    <rPh sb="3" eb="5">
      <t>メイショウ</t>
    </rPh>
    <phoneticPr fontId="7"/>
  </si>
  <si>
    <t>API日本語名称</t>
    <rPh sb="3" eb="8">
      <t>ニホンゴメイショウ</t>
    </rPh>
    <phoneticPr fontId="7"/>
  </si>
  <si>
    <t>接続先</t>
    <rPh sb="0" eb="3">
      <t>セツゾクサキ</t>
    </rPh>
    <phoneticPr fontId="7"/>
  </si>
  <si>
    <t>なし</t>
  </si>
  <si>
    <t>SQL</t>
    <phoneticPr fontId="7"/>
  </si>
  <si>
    <t>SQLID</t>
    <phoneticPr fontId="7"/>
  </si>
  <si>
    <t>SQL名称</t>
    <rPh sb="3" eb="5">
      <t>メイショウ</t>
    </rPh>
    <phoneticPr fontId="7"/>
  </si>
  <si>
    <t>SQL日本語名称</t>
  </si>
  <si>
    <t>スキーマ</t>
    <phoneticPr fontId="7"/>
  </si>
  <si>
    <t>テーブル名称</t>
  </si>
  <si>
    <t>テーブル日本語名称</t>
  </si>
  <si>
    <t>登録</t>
    <rPh sb="0" eb="2">
      <t>トウロク</t>
    </rPh>
    <phoneticPr fontId="7"/>
  </si>
  <si>
    <t>削除</t>
    <rPh sb="0" eb="2">
      <t>サクジョ</t>
    </rPh>
    <phoneticPr fontId="7"/>
  </si>
  <si>
    <t>■電子交付同意データ登録メッセージ一覧</t>
  </si>
  <si>
    <t>項目名見直し対象</t>
    <rPh sb="0" eb="3">
      <t>コウモクメイ</t>
    </rPh>
    <rPh sb="3" eb="5">
      <t>ミナオ</t>
    </rPh>
    <rPh sb="6" eb="8">
      <t>タイショウ</t>
    </rPh>
    <phoneticPr fontId="7"/>
  </si>
  <si>
    <t>項目名見直し内容</t>
    <rPh sb="0" eb="3">
      <t>コウモクメイ</t>
    </rPh>
    <rPh sb="3" eb="5">
      <t>ミナオ</t>
    </rPh>
    <rPh sb="6" eb="8">
      <t>ナイヨウ</t>
    </rPh>
    <phoneticPr fontId="7"/>
  </si>
  <si>
    <t>No.</t>
  </si>
  <si>
    <t>項目名</t>
    <phoneticPr fontId="7"/>
  </si>
  <si>
    <t>ラベル</t>
    <phoneticPr fontId="7"/>
  </si>
  <si>
    <t>共通部品ID</t>
    <rPh sb="0" eb="4">
      <t>キョウツウブヒン</t>
    </rPh>
    <phoneticPr fontId="7"/>
  </si>
  <si>
    <t>ドメインID</t>
    <phoneticPr fontId="7"/>
  </si>
  <si>
    <t>コントロール</t>
    <phoneticPr fontId="7"/>
  </si>
  <si>
    <t>設定元</t>
  </si>
  <si>
    <t>編集内容</t>
  </si>
  <si>
    <t>配置</t>
    <rPh sb="0" eb="2">
      <t>ハイチ</t>
    </rPh>
    <phoneticPr fontId="0"/>
  </si>
  <si>
    <t>I/O</t>
    <phoneticPr fontId="7"/>
  </si>
  <si>
    <t>入力形式/表示形式</t>
    <phoneticPr fontId="7"/>
  </si>
  <si>
    <t>固定長
可変長</t>
    <rPh sb="0" eb="3">
      <t>コテイチョウ</t>
    </rPh>
    <rPh sb="4" eb="7">
      <t>カヘンチョウ</t>
    </rPh>
    <phoneticPr fontId="0"/>
  </si>
  <si>
    <t>表示最大桁数</t>
  </si>
  <si>
    <t>数値範囲</t>
    <rPh sb="0" eb="2">
      <t>スウチ</t>
    </rPh>
    <rPh sb="2" eb="4">
      <t>ハンイ</t>
    </rPh>
    <phoneticPr fontId="0"/>
  </si>
  <si>
    <t>活性</t>
    <phoneticPr fontId="7"/>
  </si>
  <si>
    <t>初期値</t>
    <phoneticPr fontId="7"/>
  </si>
  <si>
    <t>アクションID</t>
    <phoneticPr fontId="7"/>
  </si>
  <si>
    <t>備考</t>
  </si>
  <si>
    <t>アクションID</t>
  </si>
  <si>
    <t>項目</t>
    <rPh sb="0" eb="2">
      <t>コウモク</t>
    </rPh>
    <phoneticPr fontId="7"/>
  </si>
  <si>
    <t>上下</t>
    <rPh sb="0" eb="2">
      <t>ジョウゲ</t>
    </rPh>
    <phoneticPr fontId="0"/>
  </si>
  <si>
    <t>左右</t>
  </si>
  <si>
    <t>最小値</t>
    <rPh sb="0" eb="2">
      <t>サイショウ</t>
    </rPh>
    <rPh sb="2" eb="3">
      <t>チ</t>
    </rPh>
    <phoneticPr fontId="0"/>
  </si>
  <si>
    <t>最大値</t>
  </si>
  <si>
    <t>単位</t>
    <rPh sb="0" eb="2">
      <t>タンイ</t>
    </rPh>
    <phoneticPr fontId="0"/>
  </si>
  <si>
    <t>タイトルエリア</t>
  </si>
  <si>
    <t>タイトル</t>
  </si>
  <si>
    <t>電子交付同意データ登録　メッセージ一覧</t>
  </si>
  <si>
    <t>ラベル</t>
  </si>
  <si>
    <t>中央</t>
  </si>
  <si>
    <t>O</t>
  </si>
  <si>
    <t>-//-</t>
    <phoneticPr fontId="7"/>
  </si>
  <si>
    <t>検索条件部</t>
  </si>
  <si>
    <t>戻る</t>
  </si>
  <si>
    <t>ボタン</t>
  </si>
  <si>
    <t>右</t>
  </si>
  <si>
    <t>I</t>
  </si>
  <si>
    <t>〇</t>
  </si>
  <si>
    <t>A001</t>
  </si>
  <si>
    <t>表示エリア</t>
  </si>
  <si>
    <t/>
  </si>
  <si>
    <t>エラーメッセージ</t>
  </si>
  <si>
    <t>テキストエリア</t>
  </si>
  <si>
    <t>画面元</t>
  </si>
  <si>
    <t>電子交付同意データ一覧.エラーメッセージ</t>
  </si>
  <si>
    <t>左</t>
  </si>
  <si>
    <t>-//全角半角</t>
  </si>
  <si>
    <t>×</t>
  </si>
  <si>
    <t>チェック結果のエラーメッセージ</t>
  </si>
  <si>
    <t>アクション名称</t>
    <rPh sb="5" eb="7">
      <t>メイショウ</t>
    </rPh>
    <phoneticPr fontId="5"/>
  </si>
  <si>
    <t>呼出機能</t>
    <rPh sb="0" eb="2">
      <t>ヨビダシ</t>
    </rPh>
    <rPh sb="2" eb="4">
      <t>キノウ</t>
    </rPh>
    <phoneticPr fontId="7"/>
  </si>
  <si>
    <t>メッセージID</t>
  </si>
  <si>
    <t>「戻る」ボタンを押す</t>
  </si>
  <si>
    <t>①</t>
  </si>
  <si>
    <t>本画面が閉じる</t>
  </si>
  <si>
    <t>プルダウンリストの値</t>
    <rPh sb="9" eb="10">
      <t>アタイ</t>
    </rPh>
    <phoneticPr fontId="7"/>
  </si>
  <si>
    <t>■「概要」シート</t>
    <rPh sb="2" eb="4">
      <t>ガイヨウ</t>
    </rPh>
    <phoneticPr fontId="7"/>
  </si>
  <si>
    <t>■「画面項目定義」シート</t>
    <phoneticPr fontId="7"/>
  </si>
  <si>
    <t>■「画面遷移パラメータ」シート</t>
    <phoneticPr fontId="7"/>
  </si>
  <si>
    <t>■「ファイル項目定義(CSV出力)」シート</t>
    <phoneticPr fontId="7"/>
  </si>
  <si>
    <t>■「ファイル項目定義(ファイル取込)」シート</t>
    <rPh sb="15" eb="17">
      <t>トリコミ</t>
    </rPh>
    <phoneticPr fontId="7"/>
  </si>
  <si>
    <t>■「API詳細」「共通関数詳細」シート</t>
    <rPh sb="5" eb="7">
      <t>ショウサイ</t>
    </rPh>
    <rPh sb="9" eb="11">
      <t>キョウツウ</t>
    </rPh>
    <rPh sb="11" eb="13">
      <t>カンスウ</t>
    </rPh>
    <rPh sb="13" eb="15">
      <t>ショウサイ</t>
    </rPh>
    <phoneticPr fontId="7"/>
  </si>
  <si>
    <t>〇画面遷移</t>
    <rPh sb="1" eb="3">
      <t>ガメン</t>
    </rPh>
    <rPh sb="3" eb="5">
      <t>センイ</t>
    </rPh>
    <phoneticPr fontId="7"/>
  </si>
  <si>
    <t>〇コントロール</t>
    <phoneticPr fontId="7"/>
  </si>
  <si>
    <t>〇型</t>
    <rPh sb="1" eb="2">
      <t>カタ</t>
    </rPh>
    <phoneticPr fontId="7"/>
  </si>
  <si>
    <t>〇入力形式</t>
    <phoneticPr fontId="7"/>
  </si>
  <si>
    <t>〇入出力</t>
    <rPh sb="1" eb="4">
      <t>ニュウシュツリョク</t>
    </rPh>
    <phoneticPr fontId="7"/>
  </si>
  <si>
    <t>項番</t>
    <rPh sb="0" eb="1">
      <t>コウ</t>
    </rPh>
    <rPh sb="1" eb="2">
      <t>バン</t>
    </rPh>
    <phoneticPr fontId="7"/>
  </si>
  <si>
    <t>値</t>
    <rPh sb="0" eb="1">
      <t>アタイ</t>
    </rPh>
    <phoneticPr fontId="7"/>
  </si>
  <si>
    <t>遷移元</t>
    <rPh sb="0" eb="3">
      <t>センイモト</t>
    </rPh>
    <phoneticPr fontId="7"/>
  </si>
  <si>
    <t>YYYY-MM-DD</t>
    <phoneticPr fontId="7"/>
  </si>
  <si>
    <t>IN</t>
    <phoneticPr fontId="7"/>
  </si>
  <si>
    <t>遷移先</t>
    <rPh sb="0" eb="3">
      <t>センイサキ</t>
    </rPh>
    <phoneticPr fontId="7"/>
  </si>
  <si>
    <t>変更</t>
    <rPh sb="0" eb="2">
      <t>ヘンコウ</t>
    </rPh>
    <phoneticPr fontId="7"/>
  </si>
  <si>
    <t>テキスト</t>
  </si>
  <si>
    <t>YYYY/MM/DD</t>
    <phoneticPr fontId="7"/>
  </si>
  <si>
    <t>OUT</t>
    <phoneticPr fontId="7"/>
  </si>
  <si>
    <t>-</t>
    <phoneticPr fontId="7"/>
  </si>
  <si>
    <t>テキストボックス</t>
  </si>
  <si>
    <t>数字のみ</t>
  </si>
  <si>
    <t>半角英数字のみ</t>
  </si>
  <si>
    <t>〇API/共通関数/SQL機能</t>
    <rPh sb="5" eb="9">
      <t>キョウツウカンスウ</t>
    </rPh>
    <rPh sb="13" eb="15">
      <t>キノウ</t>
    </rPh>
    <phoneticPr fontId="7"/>
  </si>
  <si>
    <t>チェックボックス</t>
  </si>
  <si>
    <t>数字と小数点</t>
  </si>
  <si>
    <t>〇必須</t>
    <phoneticPr fontId="7"/>
  </si>
  <si>
    <t>ラジオボタン</t>
  </si>
  <si>
    <t>半角数字と小数点</t>
  </si>
  <si>
    <t>ドロップダウンリスト</t>
  </si>
  <si>
    <t>数字とマイナス記号と小数点</t>
  </si>
  <si>
    <t>ドロップダウンリスト（複数選択）</t>
    <rPh sb="11" eb="15">
      <t>フクスウセンタク</t>
    </rPh>
    <phoneticPr fontId="7"/>
  </si>
  <si>
    <t>英字のみ</t>
  </si>
  <si>
    <t>●</t>
  </si>
  <si>
    <t>データグリッド</t>
    <phoneticPr fontId="7"/>
  </si>
  <si>
    <t>日付コントロール</t>
  </si>
  <si>
    <t>英字（大文字）のみ</t>
  </si>
  <si>
    <t>データグリッド（複数選択）</t>
    <rPh sb="8" eb="12">
      <t>フクスウセンタク</t>
    </rPh>
    <phoneticPr fontId="7"/>
  </si>
  <si>
    <t>hidden</t>
  </si>
  <si>
    <t>英字（小文字）のみ</t>
  </si>
  <si>
    <t>英数字のみ</t>
  </si>
  <si>
    <t>英数字（大文字）のみ</t>
  </si>
  <si>
    <t>英数字（小文字）のみ</t>
  </si>
  <si>
    <t>リンク</t>
    <phoneticPr fontId="7"/>
  </si>
  <si>
    <t>英数字記号のみ</t>
  </si>
  <si>
    <t>イメージ</t>
    <phoneticPr fontId="7"/>
  </si>
  <si>
    <t>英数字記号（'"*%|以外）のみ</t>
  </si>
  <si>
    <t>ラジオ</t>
  </si>
  <si>
    <t>0～9のみ</t>
  </si>
  <si>
    <t>ひらがなのみ</t>
  </si>
  <si>
    <t>〇上下</t>
    <phoneticPr fontId="7"/>
  </si>
  <si>
    <t>カタカナのみ</t>
  </si>
  <si>
    <t>〇Valited</t>
    <phoneticPr fontId="7"/>
  </si>
  <si>
    <t>全角のみ</t>
  </si>
  <si>
    <t>上</t>
  </si>
  <si>
    <t>全角半角</t>
    <rPh sb="2" eb="4">
      <t>ハンカク</t>
    </rPh>
    <phoneticPr fontId="7"/>
  </si>
  <si>
    <t>E-mailアドレス</t>
  </si>
  <si>
    <t>下</t>
  </si>
  <si>
    <t>*%|以外
全て
E-mailアドレス
郵便番号
全角('*%|以外)のみ</t>
    <phoneticPr fontId="7"/>
  </si>
  <si>
    <t>画面構成項目（ボタン等）</t>
  </si>
  <si>
    <t>YYYYMMDD HH:MM</t>
    <phoneticPr fontId="7"/>
  </si>
  <si>
    <t>〇左右</t>
    <phoneticPr fontId="7"/>
  </si>
  <si>
    <t>ON/OFF</t>
    <phoneticPr fontId="7"/>
  </si>
  <si>
    <t>半角英数字、カンマのみ</t>
    <phoneticPr fontId="7"/>
  </si>
  <si>
    <t>YYYYMMDD HH:MM:SS</t>
    <phoneticPr fontId="7"/>
  </si>
  <si>
    <t>YYYY/MM</t>
    <phoneticPr fontId="7"/>
  </si>
  <si>
    <t>〇I/O</t>
    <phoneticPr fontId="7"/>
  </si>
  <si>
    <t>〇フォーマット</t>
    <phoneticPr fontId="7"/>
  </si>
  <si>
    <t>###,##0</t>
    <phoneticPr fontId="7"/>
  </si>
  <si>
    <t>I/O</t>
  </si>
  <si>
    <t>#####0</t>
    <phoneticPr fontId="7"/>
  </si>
  <si>
    <t>YYYYMMDD HH:MM</t>
  </si>
  <si>
    <t>〇入力形式/表示形式</t>
    <phoneticPr fontId="7"/>
  </si>
  <si>
    <t>〇画面遷移パラメータ種別</t>
    <rPh sb="1" eb="5">
      <t>ガメンセンイ</t>
    </rPh>
    <rPh sb="10" eb="12">
      <t>シュベツ</t>
    </rPh>
    <phoneticPr fontId="7"/>
  </si>
  <si>
    <t>リクエスト</t>
    <phoneticPr fontId="7"/>
  </si>
  <si>
    <t>レスポンス</t>
    <phoneticPr fontId="7"/>
  </si>
  <si>
    <t>〇画面遷移パターン</t>
    <rPh sb="1" eb="3">
      <t>ガメン</t>
    </rPh>
    <rPh sb="3" eb="5">
      <t>センイ</t>
    </rPh>
    <phoneticPr fontId="7"/>
  </si>
  <si>
    <t>〇単位</t>
    <rPh sb="1" eb="3">
      <t>タンイ</t>
    </rPh>
    <phoneticPr fontId="7"/>
  </si>
  <si>
    <t>自画面遷移</t>
    <phoneticPr fontId="7"/>
  </si>
  <si>
    <t>円</t>
  </si>
  <si>
    <t>一覧画面遷移</t>
    <phoneticPr fontId="7"/>
  </si>
  <si>
    <t>ドル</t>
  </si>
  <si>
    <t>詳細画面遷移</t>
    <phoneticPr fontId="7"/>
  </si>
  <si>
    <t>株</t>
  </si>
  <si>
    <t>詳細ポップアップ遷移</t>
    <phoneticPr fontId="7"/>
  </si>
  <si>
    <t>USD</t>
  </si>
  <si>
    <t>画面内タブ指定遷移</t>
    <rPh sb="5" eb="7">
      <t>シテイ</t>
    </rPh>
    <phoneticPr fontId="7"/>
  </si>
  <si>
    <t>％</t>
  </si>
  <si>
    <t>歳</t>
    <phoneticPr fontId="7"/>
  </si>
  <si>
    <t>〇活性</t>
    <phoneticPr fontId="7"/>
  </si>
  <si>
    <t>▲</t>
  </si>
  <si>
    <t>〇固定長、可変長</t>
    <rPh sb="1" eb="4">
      <t>コテイチョウ</t>
    </rPh>
    <rPh sb="5" eb="8">
      <t>カヘンチョウ</t>
    </rPh>
    <phoneticPr fontId="7"/>
  </si>
  <si>
    <t>固定</t>
    <rPh sb="0" eb="2">
      <t>コテイ</t>
    </rPh>
    <phoneticPr fontId="7"/>
  </si>
  <si>
    <t>可変</t>
    <rPh sb="0" eb="2">
      <t>カヘン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</si>
</sst>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);[Red]\(0.0\)"/>
    <numFmt numFmtId="165" formatCode="0000"/>
  </numFmts>
  <fonts count="33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0"/>
      <color theme="1"/>
      <name val="Meiryo UI"/>
      <family val="2"/>
      <charset val="128"/>
    </font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1"/>
      <color theme="1"/>
      <name val="Calibri"/>
      <family val="3"/>
      <charset val="128"/>
      <scheme val="minor"/>
    </font>
    <font>
      <sz val="6"/>
      <name val="Calibri"/>
      <family val="2"/>
      <charset val="128"/>
      <scheme val="minor"/>
    </font>
    <font>
      <sz val="9"/>
      <name val="Meiryo UI"/>
      <family val="2"/>
    </font>
    <font>
      <b/>
      <sz val="11"/>
      <name val="Meiryo UI"/>
      <family val="2"/>
    </font>
    <font>
      <sz val="9"/>
      <color theme="1"/>
      <name val="Meiryo UI"/>
      <family val="3"/>
      <charset val="128"/>
    </font>
    <font>
      <sz val="9"/>
      <name val="Meiryo UI"/>
      <family val="3"/>
      <charset val="128"/>
    </font>
    <font>
      <sz val="11"/>
      <color rgb="FF000000"/>
      <name val="MS PGothic"/>
      <family val="3"/>
      <charset val="128"/>
    </font>
    <font>
      <u/>
      <sz val="11"/>
      <color theme="10"/>
      <name val="Calibri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b/>
      <sz val="14"/>
      <color theme="1"/>
      <name val="Calibri"/>
      <family val="3"/>
      <charset val="128"/>
      <scheme val="minor"/>
    </font>
    <font>
      <sz val="11"/>
      <color theme="1"/>
      <name val="Meiryo UI"/>
      <family val="3"/>
      <charset val="128"/>
    </font>
    <font>
      <sz val="9"/>
      <color indexed="81"/>
      <name val="MS P ゴシック"/>
      <family val="3"/>
      <charset val="128"/>
    </font>
    <font>
      <b/>
      <sz val="11"/>
      <color rgb="FFFF0000"/>
      <name val="Calibri"/>
      <family val="3"/>
      <charset val="128"/>
      <scheme val="minor"/>
    </font>
    <font>
      <sz val="11"/>
      <name val="Calibri"/>
      <family val="3"/>
      <charset val="128"/>
      <scheme val="minor"/>
    </font>
    <font>
      <sz val="11"/>
      <name val="Meiryo UI"/>
      <family val="3"/>
      <charset val="128"/>
    </font>
    <font>
      <sz val="11"/>
      <color indexed="8"/>
      <name val="ＭＳ Ｐゴシック"/>
      <family val="3"/>
      <charset val="128"/>
    </font>
    <font>
      <b/>
      <sz val="24"/>
      <name val="Meiryo UI"/>
      <family val="3"/>
      <charset val="128"/>
    </font>
    <font>
      <b/>
      <sz val="11"/>
      <name val="Meiryo UI"/>
      <family val="3"/>
      <charset val="128"/>
    </font>
    <font>
      <sz val="11"/>
      <color theme="1"/>
      <name val="Calibri"/>
      <family val="2"/>
      <charset val="128"/>
      <scheme val="minor"/>
    </font>
    <font>
      <sz val="11"/>
      <color theme="1"/>
      <name val="Meiryo UI"/>
      <family val="3"/>
      <charset val="128"/>
    </font>
    <font>
      <sz val="20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sz val="9"/>
      <name val="Meiryo UI"/>
      <family val="3"/>
      <charset val="128"/>
    </font>
    <font>
      <sz val="9"/>
      <color theme="1"/>
      <name val="Meiryo UI"/>
      <family val="3"/>
      <charset val="128"/>
    </font>
    <font>
      <b/>
      <sz val="9"/>
      <color theme="1"/>
      <name val="Meiryo UI"/>
      <family val="3"/>
      <charset val="128"/>
    </font>
    <font>
      <b/>
      <sz val="9"/>
      <name val="Meiryo UI"/>
      <family val="3"/>
      <charset val="128"/>
    </font>
    <font>
      <sz val="11"/>
      <color rgb="FF000000"/>
      <name val="Meiryo UI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6" fillId="0" borderId="0">
      <alignment vertical="center"/>
    </xf>
    <xf numFmtId="0" fontId="4" fillId="0" borderId="0"/>
    <xf numFmtId="0" fontId="12" fillId="0" borderId="0"/>
    <xf numFmtId="0" fontId="13" fillId="0" borderId="0" applyNumberFormat="0" applyFill="0" applyBorder="0" applyAlignment="0" applyProtection="0"/>
    <xf numFmtId="0" fontId="3" fillId="0" borderId="0"/>
    <xf numFmtId="0" fontId="3" fillId="0" borderId="0"/>
    <xf numFmtId="0" fontId="6" fillId="0" borderId="0">
      <alignment vertical="center"/>
    </xf>
    <xf numFmtId="0" fontId="4" fillId="0" borderId="0"/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1" fillId="0" borderId="0"/>
    <xf numFmtId="0" fontId="24" fillId="0" borderId="0">
      <alignment vertical="center"/>
    </xf>
  </cellStyleXfs>
  <cellXfs count="212">
    <xf numFmtId="0" fontId="0" fillId="0" borderId="0" xfId="0"/>
    <xf numFmtId="0" fontId="9" fillId="0" borderId="1" xfId="3" applyFont="1" applyBorder="1">
      <alignment vertical="center"/>
    </xf>
    <xf numFmtId="0" fontId="15" fillId="0" borderId="0" xfId="0" applyFont="1"/>
    <xf numFmtId="0" fontId="0" fillId="3" borderId="22" xfId="0" applyFill="1" applyBorder="1"/>
    <xf numFmtId="0" fontId="0" fillId="0" borderId="22" xfId="0" applyBorder="1"/>
    <xf numFmtId="0" fontId="0" fillId="0" borderId="22" xfId="0" applyBorder="1" applyAlignment="1">
      <alignment wrapText="1"/>
    </xf>
    <xf numFmtId="0" fontId="0" fillId="0" borderId="2" xfId="0" applyBorder="1"/>
    <xf numFmtId="0" fontId="10" fillId="4" borderId="0" xfId="0" applyFont="1" applyFill="1"/>
    <xf numFmtId="0" fontId="6" fillId="0" borderId="0" xfId="0" applyFont="1"/>
    <xf numFmtId="0" fontId="6" fillId="3" borderId="22" xfId="0" applyFont="1" applyFill="1" applyBorder="1"/>
    <xf numFmtId="0" fontId="6" fillId="0" borderId="22" xfId="0" applyFont="1" applyBorder="1"/>
    <xf numFmtId="0" fontId="11" fillId="0" borderId="0" xfId="5" applyFont="1" applyAlignment="1">
      <alignment horizontal="left" vertical="top"/>
    </xf>
    <xf numFmtId="0" fontId="16" fillId="5" borderId="22" xfId="9" applyFont="1" applyFill="1" applyBorder="1" applyAlignment="1">
      <alignment horizontal="left"/>
    </xf>
    <xf numFmtId="0" fontId="16" fillId="4" borderId="0" xfId="0" applyFont="1" applyFill="1"/>
    <xf numFmtId="0" fontId="11" fillId="0" borderId="22" xfId="5" applyFont="1" applyBorder="1" applyAlignment="1">
      <alignment horizontal="left" vertical="top"/>
    </xf>
    <xf numFmtId="165" fontId="11" fillId="0" borderId="16" xfId="3" applyNumberFormat="1" applyFont="1" applyBorder="1" applyAlignment="1">
      <alignment horizontal="center" vertical="center"/>
    </xf>
    <xf numFmtId="49" fontId="11" fillId="0" borderId="23" xfId="3" applyNumberFormat="1" applyFont="1" applyBorder="1" applyAlignment="1">
      <alignment horizontal="center" vertical="center"/>
    </xf>
    <xf numFmtId="14" fontId="11" fillId="0" borderId="18" xfId="3" applyNumberFormat="1" applyFont="1" applyBorder="1" applyAlignment="1">
      <alignment horizontal="center" vertical="center" shrinkToFit="1"/>
    </xf>
    <xf numFmtId="0" fontId="11" fillId="0" borderId="18" xfId="3" applyFont="1" applyBorder="1" applyAlignment="1">
      <alignment horizontal="center" vertical="center"/>
    </xf>
    <xf numFmtId="0" fontId="11" fillId="0" borderId="23" xfId="3" applyFont="1" applyBorder="1" applyAlignment="1">
      <alignment horizontal="left" vertical="center"/>
    </xf>
    <xf numFmtId="0" fontId="11" fillId="0" borderId="23" xfId="3" applyFont="1" applyBorder="1" applyAlignment="1">
      <alignment horizontal="center" vertical="center"/>
    </xf>
    <xf numFmtId="0" fontId="11" fillId="0" borderId="23" xfId="3" applyFont="1" applyBorder="1" applyAlignment="1">
      <alignment vertical="center" wrapText="1"/>
    </xf>
    <xf numFmtId="14" fontId="11" fillId="0" borderId="17" xfId="3" applyNumberFormat="1" applyFont="1" applyBorder="1" applyAlignment="1">
      <alignment horizontal="center" vertical="center" shrinkToFit="1"/>
    </xf>
    <xf numFmtId="0" fontId="11" fillId="0" borderId="17" xfId="3" applyFont="1" applyBorder="1" applyAlignment="1">
      <alignment horizontal="center" vertical="center"/>
    </xf>
    <xf numFmtId="0" fontId="11" fillId="0" borderId="23" xfId="3" applyFont="1" applyBorder="1" applyAlignment="1">
      <alignment horizontal="left" vertical="center" wrapText="1"/>
    </xf>
    <xf numFmtId="0" fontId="18" fillId="0" borderId="0" xfId="0" applyFont="1"/>
    <xf numFmtId="0" fontId="19" fillId="0" borderId="22" xfId="0" applyFont="1" applyBorder="1"/>
    <xf numFmtId="0" fontId="16" fillId="0" borderId="0" xfId="0" applyFont="1"/>
    <xf numFmtId="0" fontId="8" fillId="2" borderId="22" xfId="3" applyFont="1" applyFill="1" applyBorder="1" applyAlignment="1">
      <alignment horizontal="center" vertical="center"/>
    </xf>
    <xf numFmtId="0" fontId="11" fillId="0" borderId="0" xfId="4" applyFont="1" applyAlignment="1">
      <alignment vertical="center" wrapText="1"/>
    </xf>
    <xf numFmtId="165" fontId="11" fillId="0" borderId="30" xfId="3" applyNumberFormat="1" applyFont="1" applyBorder="1" applyAlignment="1">
      <alignment horizontal="center" vertical="center"/>
    </xf>
    <xf numFmtId="0" fontId="20" fillId="5" borderId="22" xfId="9" applyFont="1" applyFill="1" applyBorder="1" applyAlignment="1">
      <alignment horizontal="left"/>
    </xf>
    <xf numFmtId="0" fontId="20" fillId="0" borderId="22" xfId="9" applyFont="1" applyBorder="1" applyAlignment="1">
      <alignment horizontal="left"/>
    </xf>
    <xf numFmtId="49" fontId="11" fillId="0" borderId="30" xfId="3" applyNumberFormat="1" applyFont="1" applyBorder="1" applyAlignment="1">
      <alignment horizontal="center" vertical="center"/>
    </xf>
    <xf numFmtId="0" fontId="11" fillId="2" borderId="15" xfId="3" applyFont="1" applyFill="1" applyBorder="1" applyAlignment="1">
      <alignment horizontal="center" vertical="center"/>
    </xf>
    <xf numFmtId="49" fontId="11" fillId="0" borderId="16" xfId="3" applyNumberFormat="1" applyFont="1" applyBorder="1" applyAlignment="1">
      <alignment horizontal="center" vertical="center"/>
    </xf>
    <xf numFmtId="0" fontId="11" fillId="0" borderId="18" xfId="3" applyFont="1" applyBorder="1" applyAlignment="1">
      <alignment horizontal="center" vertical="center" shrinkToFit="1"/>
    </xf>
    <xf numFmtId="165" fontId="11" fillId="0" borderId="30" xfId="3" quotePrefix="1" applyNumberFormat="1" applyFont="1" applyBorder="1" applyAlignment="1">
      <alignment horizontal="center" vertical="center"/>
    </xf>
    <xf numFmtId="165" fontId="11" fillId="0" borderId="26" xfId="3" applyNumberFormat="1" applyFont="1" applyBorder="1" applyAlignment="1">
      <alignment horizontal="center" vertical="center"/>
    </xf>
    <xf numFmtId="165" fontId="11" fillId="0" borderId="24" xfId="3" applyNumberFormat="1" applyFont="1" applyBorder="1" applyAlignment="1">
      <alignment horizontal="center" vertical="center"/>
    </xf>
    <xf numFmtId="49" fontId="11" fillId="0" borderId="28" xfId="3" applyNumberFormat="1" applyFont="1" applyBorder="1" applyAlignment="1">
      <alignment horizontal="center" vertical="center"/>
    </xf>
    <xf numFmtId="14" fontId="11" fillId="0" borderId="27" xfId="3" applyNumberFormat="1" applyFont="1" applyBorder="1" applyAlignment="1">
      <alignment horizontal="center" vertical="center" shrinkToFit="1"/>
    </xf>
    <xf numFmtId="0" fontId="11" fillId="0" borderId="27" xfId="3" applyFont="1" applyBorder="1" applyAlignment="1">
      <alignment horizontal="center" vertical="center"/>
    </xf>
    <xf numFmtId="0" fontId="11" fillId="0" borderId="28" xfId="3" applyFont="1" applyBorder="1" applyAlignment="1">
      <alignment horizontal="left" vertical="center"/>
    </xf>
    <xf numFmtId="0" fontId="11" fillId="0" borderId="28" xfId="3" applyFont="1" applyBorder="1" applyAlignment="1">
      <alignment vertical="center" wrapText="1"/>
    </xf>
    <xf numFmtId="0" fontId="11" fillId="0" borderId="28" xfId="3" applyFont="1" applyBorder="1" applyAlignment="1">
      <alignment horizontal="center" vertical="center"/>
    </xf>
    <xf numFmtId="165" fontId="10" fillId="0" borderId="30" xfId="3" quotePrefix="1" applyNumberFormat="1" applyFont="1" applyBorder="1" applyAlignment="1">
      <alignment horizontal="center" vertical="center"/>
    </xf>
    <xf numFmtId="49" fontId="10" fillId="0" borderId="23" xfId="3" applyNumberFormat="1" applyFont="1" applyBorder="1" applyAlignment="1">
      <alignment horizontal="center" vertical="center"/>
    </xf>
    <xf numFmtId="14" fontId="10" fillId="0" borderId="18" xfId="3" applyNumberFormat="1" applyFont="1" applyBorder="1" applyAlignment="1">
      <alignment horizontal="center" vertical="center" shrinkToFit="1"/>
    </xf>
    <xf numFmtId="0" fontId="10" fillId="0" borderId="18" xfId="3" applyFont="1" applyBorder="1" applyAlignment="1">
      <alignment horizontal="center" vertical="center"/>
    </xf>
    <xf numFmtId="0" fontId="10" fillId="0" borderId="23" xfId="3" applyFont="1" applyBorder="1" applyAlignment="1">
      <alignment horizontal="left" vertical="center"/>
    </xf>
    <xf numFmtId="0" fontId="10" fillId="0" borderId="23" xfId="3" applyFont="1" applyBorder="1" applyAlignment="1">
      <alignment vertical="center" wrapText="1"/>
    </xf>
    <xf numFmtId="0" fontId="10" fillId="0" borderId="23" xfId="3" applyFont="1" applyBorder="1" applyAlignment="1">
      <alignment horizontal="center" vertical="center"/>
    </xf>
    <xf numFmtId="0" fontId="20" fillId="0" borderId="0" xfId="3" applyFont="1">
      <alignment vertical="center"/>
    </xf>
    <xf numFmtId="0" fontId="11" fillId="0" borderId="0" xfId="3" applyFont="1" applyAlignment="1">
      <alignment horizontal="left" vertical="center"/>
    </xf>
    <xf numFmtId="14" fontId="11" fillId="0" borderId="32" xfId="3" applyNumberFormat="1" applyFont="1" applyBorder="1" applyAlignment="1">
      <alignment horizontal="center" vertical="center" shrinkToFit="1"/>
    </xf>
    <xf numFmtId="0" fontId="11" fillId="0" borderId="33" xfId="3" applyFont="1" applyBorder="1" applyAlignment="1">
      <alignment horizontal="center" vertical="center"/>
    </xf>
    <xf numFmtId="49" fontId="11" fillId="0" borderId="23" xfId="3" applyNumberFormat="1" applyFont="1" applyBorder="1" applyAlignment="1">
      <alignment horizontal="left" vertical="center"/>
    </xf>
    <xf numFmtId="0" fontId="11" fillId="0" borderId="23" xfId="3" applyFont="1" applyBorder="1">
      <alignment vertical="center"/>
    </xf>
    <xf numFmtId="0" fontId="11" fillId="0" borderId="23" xfId="3" applyFont="1" applyBorder="1" applyAlignment="1">
      <alignment horizontal="left" wrapText="1"/>
    </xf>
    <xf numFmtId="0" fontId="11" fillId="0" borderId="0" xfId="5" applyFont="1"/>
    <xf numFmtId="0" fontId="11" fillId="0" borderId="22" xfId="5" applyFont="1" applyBorder="1"/>
    <xf numFmtId="0" fontId="11" fillId="0" borderId="1" xfId="1" applyFont="1" applyBorder="1">
      <alignment vertical="center"/>
    </xf>
    <xf numFmtId="0" fontId="11" fillId="0" borderId="2" xfId="1" applyFont="1" applyBorder="1">
      <alignment vertical="center"/>
    </xf>
    <xf numFmtId="0" fontId="11" fillId="0" borderId="3" xfId="1" applyFont="1" applyBorder="1">
      <alignment vertical="center"/>
    </xf>
    <xf numFmtId="0" fontId="20" fillId="0" borderId="0" xfId="1" applyFont="1">
      <alignment vertical="center"/>
    </xf>
    <xf numFmtId="0" fontId="11" fillId="0" borderId="4" xfId="1" applyFont="1" applyBorder="1">
      <alignment vertical="center"/>
    </xf>
    <xf numFmtId="0" fontId="11" fillId="0" borderId="0" xfId="1" applyFont="1">
      <alignment vertical="center"/>
    </xf>
    <xf numFmtId="0" fontId="11" fillId="0" borderId="5" xfId="1" applyFont="1" applyBorder="1">
      <alignment vertical="center"/>
    </xf>
    <xf numFmtId="0" fontId="11" fillId="0" borderId="6" xfId="1" applyFont="1" applyBorder="1">
      <alignment vertical="center"/>
    </xf>
    <xf numFmtId="0" fontId="11" fillId="0" borderId="7" xfId="1" applyFont="1" applyBorder="1">
      <alignment vertical="center"/>
    </xf>
    <xf numFmtId="0" fontId="11" fillId="0" borderId="8" xfId="1" applyFont="1" applyBorder="1">
      <alignment vertical="center"/>
    </xf>
    <xf numFmtId="0" fontId="20" fillId="0" borderId="0" xfId="1" applyFont="1" applyAlignment="1"/>
    <xf numFmtId="0" fontId="11" fillId="0" borderId="10" xfId="1" applyFont="1" applyBorder="1">
      <alignment vertical="center"/>
    </xf>
    <xf numFmtId="0" fontId="20" fillId="0" borderId="10" xfId="1" applyFont="1" applyBorder="1">
      <alignment vertical="center"/>
    </xf>
    <xf numFmtId="0" fontId="23" fillId="0" borderId="1" xfId="3" applyFont="1" applyBorder="1">
      <alignment vertical="center"/>
    </xf>
    <xf numFmtId="0" fontId="20" fillId="0" borderId="2" xfId="3" applyFont="1" applyBorder="1">
      <alignment vertical="center"/>
    </xf>
    <xf numFmtId="0" fontId="20" fillId="0" borderId="4" xfId="3" applyFont="1" applyBorder="1">
      <alignment vertical="center"/>
    </xf>
    <xf numFmtId="0" fontId="11" fillId="0" borderId="0" xfId="3" applyFont="1" applyAlignment="1">
      <alignment horizontal="center" vertical="center"/>
    </xf>
    <xf numFmtId="165" fontId="11" fillId="0" borderId="31" xfId="3" applyNumberFormat="1" applyFont="1" applyBorder="1" applyAlignment="1">
      <alignment horizontal="center" vertical="center"/>
    </xf>
    <xf numFmtId="165" fontId="11" fillId="0" borderId="0" xfId="3" applyNumberFormat="1" applyFont="1" applyAlignment="1">
      <alignment horizontal="center" vertical="center"/>
    </xf>
    <xf numFmtId="49" fontId="11" fillId="0" borderId="0" xfId="3" applyNumberFormat="1" applyFont="1" applyAlignment="1">
      <alignment horizontal="center" vertical="center"/>
    </xf>
    <xf numFmtId="14" fontId="11" fillId="0" borderId="0" xfId="3" applyNumberFormat="1" applyFont="1" applyAlignment="1">
      <alignment horizontal="center" vertical="center" shrinkToFit="1"/>
    </xf>
    <xf numFmtId="0" fontId="11" fillId="0" borderId="0" xfId="3" applyFont="1">
      <alignment vertical="center"/>
    </xf>
    <xf numFmtId="0" fontId="11" fillId="0" borderId="9" xfId="4" applyFont="1" applyBorder="1">
      <alignment vertical="center"/>
    </xf>
    <xf numFmtId="0" fontId="11" fillId="0" borderId="2" xfId="4" applyFont="1" applyBorder="1">
      <alignment vertical="center"/>
    </xf>
    <xf numFmtId="0" fontId="11" fillId="0" borderId="2" xfId="4" applyFont="1" applyBorder="1" applyAlignment="1">
      <alignment vertical="center" wrapText="1"/>
    </xf>
    <xf numFmtId="0" fontId="11" fillId="0" borderId="0" xfId="4" applyFont="1">
      <alignment vertical="center"/>
    </xf>
    <xf numFmtId="0" fontId="20" fillId="5" borderId="22" xfId="9" applyFont="1" applyFill="1" applyBorder="1" applyAlignment="1">
      <alignment horizontal="left" vertical="center"/>
    </xf>
    <xf numFmtId="0" fontId="20" fillId="0" borderId="22" xfId="9" applyFont="1" applyBorder="1" applyAlignment="1">
      <alignment horizontal="left" vertical="center"/>
    </xf>
    <xf numFmtId="0" fontId="11" fillId="3" borderId="1" xfId="4" applyFont="1" applyFill="1" applyBorder="1">
      <alignment vertical="center"/>
    </xf>
    <xf numFmtId="0" fontId="20" fillId="4" borderId="22" xfId="9" applyFont="1" applyFill="1" applyBorder="1" applyAlignment="1">
      <alignment horizontal="left" vertical="center"/>
    </xf>
    <xf numFmtId="0" fontId="11" fillId="0" borderId="22" xfId="5" applyFont="1" applyBorder="1" applyAlignment="1">
      <alignment vertical="center"/>
    </xf>
    <xf numFmtId="0" fontId="11" fillId="0" borderId="22" xfId="4" applyFont="1" applyBorder="1">
      <alignment vertical="center"/>
    </xf>
    <xf numFmtId="0" fontId="11" fillId="3" borderId="6" xfId="4" applyFont="1" applyFill="1" applyBorder="1">
      <alignment vertical="center"/>
    </xf>
    <xf numFmtId="0" fontId="11" fillId="3" borderId="22" xfId="4" applyFont="1" applyFill="1" applyBorder="1" applyAlignment="1">
      <alignment horizontal="center" vertical="center" wrapText="1"/>
    </xf>
    <xf numFmtId="0" fontId="11" fillId="3" borderId="22" xfId="4" applyFont="1" applyFill="1" applyBorder="1" applyAlignment="1">
      <alignment horizontal="center" vertical="center"/>
    </xf>
    <xf numFmtId="0" fontId="11" fillId="0" borderId="22" xfId="5" applyFont="1" applyBorder="1" applyAlignment="1">
      <alignment horizontal="left" vertical="center"/>
    </xf>
    <xf numFmtId="0" fontId="11" fillId="0" borderId="22" xfId="4" applyFont="1" applyBorder="1" applyAlignment="1">
      <alignment horizontal="center" vertical="center"/>
    </xf>
    <xf numFmtId="0" fontId="11" fillId="6" borderId="19" xfId="4" applyFont="1" applyFill="1" applyBorder="1" applyAlignment="1">
      <alignment horizontal="left" vertical="center"/>
    </xf>
    <xf numFmtId="0" fontId="11" fillId="6" borderId="25" xfId="4" applyFont="1" applyFill="1" applyBorder="1" applyAlignment="1">
      <alignment horizontal="left" vertical="center" wrapText="1"/>
    </xf>
    <xf numFmtId="0" fontId="11" fillId="7" borderId="10" xfId="4" applyFont="1" applyFill="1" applyBorder="1">
      <alignment vertical="center"/>
    </xf>
    <xf numFmtId="0" fontId="11" fillId="7" borderId="9" xfId="4" applyFont="1" applyFill="1" applyBorder="1">
      <alignment vertical="center"/>
    </xf>
    <xf numFmtId="0" fontId="11" fillId="6" borderId="9" xfId="4" applyFont="1" applyFill="1" applyBorder="1">
      <alignment vertical="center"/>
    </xf>
    <xf numFmtId="0" fontId="11" fillId="6" borderId="22" xfId="4" applyFont="1" applyFill="1" applyBorder="1" applyAlignment="1">
      <alignment vertical="center" wrapText="1"/>
    </xf>
    <xf numFmtId="0" fontId="11" fillId="6" borderId="22" xfId="4" applyFont="1" applyFill="1" applyBorder="1" applyAlignment="1">
      <alignment horizontal="left" vertical="center" wrapText="1"/>
    </xf>
    <xf numFmtId="0" fontId="11" fillId="6" borderId="10" xfId="4" quotePrefix="1" applyFont="1" applyFill="1" applyBorder="1" applyAlignment="1">
      <alignment vertical="center" wrapText="1"/>
    </xf>
    <xf numFmtId="49" fontId="11" fillId="6" borderId="22" xfId="4" applyNumberFormat="1" applyFont="1" applyFill="1" applyBorder="1" applyAlignment="1">
      <alignment vertical="center" wrapText="1" shrinkToFit="1"/>
    </xf>
    <xf numFmtId="0" fontId="11" fillId="6" borderId="22" xfId="4" applyFont="1" applyFill="1" applyBorder="1">
      <alignment vertical="center"/>
    </xf>
    <xf numFmtId="0" fontId="11" fillId="6" borderId="9" xfId="4" applyFont="1" applyFill="1" applyBorder="1" applyAlignment="1">
      <alignment horizontal="left" vertical="center" wrapText="1"/>
    </xf>
    <xf numFmtId="0" fontId="11" fillId="0" borderId="0" xfId="4" applyFont="1" applyAlignment="1">
      <alignment horizontal="left" vertical="center"/>
    </xf>
    <xf numFmtId="0" fontId="11" fillId="6" borderId="21" xfId="4" applyFont="1" applyFill="1" applyBorder="1" applyAlignment="1">
      <alignment horizontal="center" vertical="center"/>
    </xf>
    <xf numFmtId="0" fontId="11" fillId="0" borderId="22" xfId="4" applyFont="1" applyBorder="1" applyAlignment="1">
      <alignment horizontal="left" vertical="center" wrapText="1"/>
    </xf>
    <xf numFmtId="0" fontId="11" fillId="0" borderId="10" xfId="4" applyFont="1" applyBorder="1" applyAlignment="1">
      <alignment vertical="center" wrapText="1"/>
    </xf>
    <xf numFmtId="0" fontId="11" fillId="0" borderId="22" xfId="4" applyFont="1" applyBorder="1" applyAlignment="1">
      <alignment vertical="center" wrapText="1"/>
    </xf>
    <xf numFmtId="49" fontId="11" fillId="0" borderId="22" xfId="4" applyNumberFormat="1" applyFont="1" applyBorder="1" applyAlignment="1">
      <alignment vertical="center" wrapText="1" shrinkToFit="1"/>
    </xf>
    <xf numFmtId="0" fontId="11" fillId="0" borderId="22" xfId="4" applyFont="1" applyBorder="1" applyAlignment="1">
      <alignment horizontal="left" vertical="center"/>
    </xf>
    <xf numFmtId="0" fontId="11" fillId="0" borderId="10" xfId="4" applyFont="1" applyBorder="1">
      <alignment vertical="center"/>
    </xf>
    <xf numFmtId="0" fontId="11" fillId="0" borderId="10" xfId="4" quotePrefix="1" applyFont="1" applyBorder="1" applyAlignment="1">
      <alignment vertical="center" wrapText="1"/>
    </xf>
    <xf numFmtId="0" fontId="11" fillId="0" borderId="25" xfId="4" applyFont="1" applyBorder="1" applyAlignment="1">
      <alignment horizontal="left" vertical="center" wrapText="1"/>
    </xf>
    <xf numFmtId="0" fontId="11" fillId="0" borderId="0" xfId="5" applyFont="1" applyAlignment="1">
      <alignment horizontal="left" vertical="center"/>
    </xf>
    <xf numFmtId="0" fontId="11" fillId="0" borderId="0" xfId="5" applyFont="1" applyAlignment="1">
      <alignment vertical="center"/>
    </xf>
    <xf numFmtId="0" fontId="11" fillId="0" borderId="22" xfId="4" quotePrefix="1" applyFont="1" applyBorder="1" applyAlignment="1">
      <alignment vertical="center" wrapText="1"/>
    </xf>
    <xf numFmtId="0" fontId="11" fillId="0" borderId="9" xfId="4" quotePrefix="1" applyFont="1" applyBorder="1">
      <alignment vertical="center"/>
    </xf>
    <xf numFmtId="0" fontId="11" fillId="0" borderId="22" xfId="4" quotePrefix="1" applyFont="1" applyBorder="1">
      <alignment vertical="center"/>
    </xf>
    <xf numFmtId="0" fontId="11" fillId="0" borderId="9" xfId="1" applyFont="1" applyBorder="1">
      <alignment vertical="center"/>
    </xf>
    <xf numFmtId="0" fontId="10" fillId="0" borderId="22" xfId="0" applyFont="1" applyBorder="1"/>
    <xf numFmtId="0" fontId="10" fillId="0" borderId="22" xfId="0" applyFont="1" applyBorder="1" applyAlignment="1">
      <alignment horizontal="center" vertical="center"/>
    </xf>
    <xf numFmtId="0" fontId="10" fillId="0" borderId="0" xfId="0" applyFont="1"/>
    <xf numFmtId="0" fontId="25" fillId="4" borderId="0" xfId="9" applyFont="1" applyFill="1"/>
    <xf numFmtId="0" fontId="25" fillId="4" borderId="0" xfId="9" applyFont="1" applyFill="1" applyAlignment="1">
      <alignment vertical="top"/>
    </xf>
    <xf numFmtId="0" fontId="26" fillId="4" borderId="0" xfId="9" applyFont="1" applyFill="1" applyAlignment="1">
      <alignment vertical="top"/>
    </xf>
    <xf numFmtId="0" fontId="27" fillId="0" borderId="0" xfId="0" applyFont="1"/>
    <xf numFmtId="0" fontId="29" fillId="4" borderId="0" xfId="9" applyFont="1" applyFill="1" applyAlignment="1">
      <alignment vertical="top"/>
    </xf>
    <xf numFmtId="0" fontId="30" fillId="4" borderId="0" xfId="9" applyFont="1" applyFill="1" applyAlignment="1">
      <alignment vertical="top"/>
    </xf>
    <xf numFmtId="0" fontId="31" fillId="4" borderId="0" xfId="9" applyFont="1" applyFill="1" applyAlignment="1">
      <alignment vertical="top"/>
    </xf>
    <xf numFmtId="0" fontId="28" fillId="0" borderId="0" xfId="5" applyFont="1" applyAlignment="1">
      <alignment horizontal="left" vertical="top"/>
    </xf>
    <xf numFmtId="0" fontId="25" fillId="4" borderId="0" xfId="9" applyFont="1" applyFill="1" applyAlignment="1">
      <alignment horizontal="left" vertical="top"/>
    </xf>
    <xf numFmtId="49" fontId="8" fillId="0" borderId="0" xfId="5" applyNumberFormat="1" applyFont="1" applyAlignment="1">
      <alignment vertical="center"/>
    </xf>
    <xf numFmtId="0" fontId="8" fillId="0" borderId="0" xfId="5" applyFont="1" applyAlignment="1">
      <alignment vertical="center"/>
    </xf>
    <xf numFmtId="0" fontId="11" fillId="3" borderId="9" xfId="5" applyFont="1" applyFill="1" applyBorder="1" applyAlignment="1">
      <alignment horizontal="center" vertical="center"/>
    </xf>
    <xf numFmtId="0" fontId="11" fillId="3" borderId="22" xfId="5" applyFont="1" applyFill="1" applyBorder="1" applyAlignment="1">
      <alignment horizontal="center" vertical="center"/>
    </xf>
    <xf numFmtId="0" fontId="11" fillId="3" borderId="9" xfId="5" applyFont="1" applyFill="1" applyBorder="1" applyAlignment="1">
      <alignment vertical="center"/>
    </xf>
    <xf numFmtId="0" fontId="11" fillId="3" borderId="10" xfId="5" applyFont="1" applyFill="1" applyBorder="1" applyAlignment="1">
      <alignment horizontal="center" vertical="center"/>
    </xf>
    <xf numFmtId="0" fontId="11" fillId="0" borderId="1" xfId="7" quotePrefix="1" applyFont="1" applyBorder="1" applyAlignment="1">
      <alignment horizontal="left" vertical="center"/>
    </xf>
    <xf numFmtId="0" fontId="11" fillId="0" borderId="19" xfId="5" applyFont="1" applyBorder="1" applyAlignment="1">
      <alignment horizontal="left" vertical="center"/>
    </xf>
    <xf numFmtId="0" fontId="11" fillId="0" borderId="15" xfId="5" applyFont="1" applyBorder="1" applyAlignment="1">
      <alignment vertical="center"/>
    </xf>
    <xf numFmtId="0" fontId="11" fillId="0" borderId="34" xfId="5" applyFont="1" applyBorder="1" applyAlignment="1">
      <alignment vertical="center" wrapText="1"/>
    </xf>
    <xf numFmtId="0" fontId="11" fillId="0" borderId="15" xfId="5" applyFont="1" applyBorder="1" applyAlignment="1">
      <alignment vertical="center" wrapText="1"/>
    </xf>
    <xf numFmtId="0" fontId="11" fillId="0" borderId="29" xfId="5" applyFont="1" applyBorder="1" applyAlignment="1">
      <alignment vertical="center"/>
    </xf>
    <xf numFmtId="0" fontId="8" fillId="0" borderId="2" xfId="5" applyFont="1" applyBorder="1" applyAlignment="1">
      <alignment vertical="center"/>
    </xf>
    <xf numFmtId="0" fontId="11" fillId="0" borderId="2" xfId="5" applyFont="1" applyBorder="1" applyAlignment="1">
      <alignment vertical="center"/>
    </xf>
    <xf numFmtId="0" fontId="32" fillId="0" borderId="0" xfId="0" applyFont="1"/>
    <xf numFmtId="49" fontId="11" fillId="0" borderId="22" xfId="4" applyNumberFormat="1" applyFont="1" applyBorder="1" applyAlignment="1">
      <alignment vertical="center" shrinkToFit="1"/>
    </xf>
    <xf numFmtId="0" fontId="10" fillId="0" borderId="9" xfId="9" applyFont="1" applyBorder="1" applyAlignment="1">
      <alignment vertical="top"/>
    </xf>
    <xf numFmtId="0" fontId="10" fillId="4" borderId="9" xfId="9" applyFont="1" applyFill="1" applyBorder="1" applyAlignment="1">
      <alignment vertical="top"/>
    </xf>
    <xf numFmtId="14" fontId="11" fillId="0" borderId="12" xfId="1" quotePrefix="1" applyNumberFormat="1" applyFont="1" applyBorder="1" applyAlignment="1">
      <alignment horizontal="left" vertical="center"/>
    </xf>
    <xf numFmtId="14" fontId="11" fillId="0" borderId="13" xfId="1" applyNumberFormat="1" applyFont="1" applyBorder="1" applyAlignment="1">
      <alignment horizontal="left" vertical="center"/>
    </xf>
    <xf numFmtId="14" fontId="11" fillId="0" borderId="14" xfId="1" applyNumberFormat="1" applyFont="1" applyBorder="1" applyAlignment="1">
      <alignment horizontal="left" vertical="center"/>
    </xf>
    <xf numFmtId="0" fontId="22" fillId="0" borderId="0" xfId="1" applyFont="1" applyAlignment="1">
      <alignment horizontal="center" vertical="top" wrapText="1"/>
    </xf>
    <xf numFmtId="164" fontId="22" fillId="0" borderId="0" xfId="1" applyNumberFormat="1" applyFont="1" applyAlignment="1">
      <alignment horizontal="center" vertical="center"/>
    </xf>
    <xf numFmtId="14" fontId="22" fillId="0" borderId="0" xfId="1" applyNumberFormat="1" applyFont="1" applyAlignment="1">
      <alignment horizontal="center" vertical="center"/>
    </xf>
    <xf numFmtId="0" fontId="11" fillId="0" borderId="12" xfId="2" applyFont="1" applyBorder="1" applyAlignment="1">
      <alignment vertical="center" wrapText="1"/>
    </xf>
    <xf numFmtId="0" fontId="11" fillId="0" borderId="13" xfId="2" applyFont="1" applyBorder="1" applyAlignment="1">
      <alignment vertical="center" wrapText="1"/>
    </xf>
    <xf numFmtId="0" fontId="11" fillId="0" borderId="14" xfId="2" applyFont="1" applyBorder="1" applyAlignment="1">
      <alignment vertical="center" wrapText="1"/>
    </xf>
    <xf numFmtId="0" fontId="11" fillId="3" borderId="22" xfId="4" applyFont="1" applyFill="1" applyBorder="1" applyAlignment="1">
      <alignment horizontal="center" vertical="center" wrapText="1"/>
    </xf>
    <xf numFmtId="0" fontId="11" fillId="3" borderId="20" xfId="4" applyFont="1" applyFill="1" applyBorder="1" applyAlignment="1">
      <alignment horizontal="center" vertical="center"/>
    </xf>
    <xf numFmtId="0" fontId="11" fillId="3" borderId="22" xfId="4" applyFont="1" applyFill="1" applyBorder="1" applyAlignment="1">
      <alignment horizontal="center" vertical="center"/>
    </xf>
    <xf numFmtId="0" fontId="11" fillId="3" borderId="9" xfId="4" applyFont="1" applyFill="1" applyBorder="1" applyAlignment="1">
      <alignment horizontal="center" vertical="center"/>
    </xf>
    <xf numFmtId="0" fontId="11" fillId="3" borderId="20" xfId="4" applyFont="1" applyFill="1" applyBorder="1" applyAlignment="1">
      <alignment horizontal="center" vertical="center" wrapText="1"/>
    </xf>
    <xf numFmtId="0" fontId="11" fillId="3" borderId="19" xfId="4" applyFont="1" applyFill="1" applyBorder="1" applyAlignment="1">
      <alignment horizontal="center" vertical="center"/>
    </xf>
    <xf numFmtId="0" fontId="11" fillId="3" borderId="25" xfId="4" applyFont="1" applyFill="1" applyBorder="1" applyAlignment="1">
      <alignment horizontal="center" vertical="center"/>
    </xf>
    <xf numFmtId="0" fontId="11" fillId="3" borderId="3" xfId="4" applyFont="1" applyFill="1" applyBorder="1" applyAlignment="1">
      <alignment horizontal="center" vertical="center" wrapText="1"/>
    </xf>
    <xf numFmtId="0" fontId="11" fillId="3" borderId="8" xfId="4" applyFont="1" applyFill="1" applyBorder="1" applyAlignment="1">
      <alignment horizontal="center" vertical="center" wrapText="1"/>
    </xf>
    <xf numFmtId="0" fontId="11" fillId="3" borderId="1" xfId="4" applyFont="1" applyFill="1" applyBorder="1" applyAlignment="1">
      <alignment horizontal="center" vertical="center"/>
    </xf>
    <xf numFmtId="0" fontId="11" fillId="3" borderId="6" xfId="4" applyFont="1" applyFill="1" applyBorder="1" applyAlignment="1">
      <alignment horizontal="center" vertical="center"/>
    </xf>
    <xf numFmtId="0" fontId="11" fillId="3" borderId="19" xfId="4" applyFont="1" applyFill="1" applyBorder="1" applyAlignment="1">
      <alignment horizontal="center" vertical="center" wrapText="1"/>
    </xf>
    <xf numFmtId="0" fontId="11" fillId="3" borderId="25" xfId="4" applyFont="1" applyFill="1" applyBorder="1" applyAlignment="1">
      <alignment horizontal="center" vertical="center" wrapText="1"/>
    </xf>
    <xf numFmtId="0" fontId="11" fillId="0" borderId="9" xfId="1" applyFont="1" applyBorder="1" applyAlignment="1">
      <alignment vertical="center"/>
    </xf>
    <xf numFmtId="0" fontId="11" fillId="0" borderId="10" xfId="1" applyFont="1" applyBorder="1" applyAlignment="1">
      <alignment vertical="center"/>
    </xf>
    <xf numFmtId="0" fontId="11" fillId="0" borderId="11" xfId="1" applyFont="1" applyBorder="1" applyAlignment="1">
      <alignment vertical="center"/>
    </xf>
    <xf numFmtId="49" fontId="16" fillId="4" borderId="0" xfId="9" applyNumberFormat="1" applyFont="1" applyFill="1"/>
    <xf numFmtId="0" fontId="16" fillId="4" borderId="0" xfId="9" applyFont="1" applyFill="1"/>
    <xf numFmtId="0" fontId="16" fillId="4" borderId="0" xfId="9" applyFont="1" applyFill="1" applyAlignment="1">
      <alignment vertical="top"/>
    </xf>
    <xf numFmtId="0" fontId="16" fillId="4" borderId="22" xfId="9" applyFont="1" applyFill="1" applyBorder="1" applyAlignment="1">
      <alignment horizontal="left" vertical="top"/>
    </xf>
    <xf numFmtId="0" fontId="20" fillId="4" borderId="22" xfId="9" applyFont="1" applyFill="1" applyBorder="1" applyAlignment="1">
      <alignment horizontal="left" vertical="top"/>
    </xf>
    <xf numFmtId="0" fontId="20" fillId="0" borderId="0" xfId="9" applyFont="1" applyAlignment="1">
      <alignment vertical="top"/>
    </xf>
    <xf numFmtId="0" fontId="10" fillId="4" borderId="0" xfId="9" applyFont="1" applyFill="1" applyAlignment="1">
      <alignment vertical="top"/>
    </xf>
    <xf numFmtId="0" fontId="10" fillId="4" borderId="22" xfId="9" applyFont="1" applyFill="1" applyBorder="1" applyAlignment="1">
      <alignment horizontal="left" vertical="top"/>
    </xf>
    <xf numFmtId="0" fontId="10" fillId="3" borderId="9" xfId="9" applyFont="1" applyFill="1" applyBorder="1" applyAlignment="1">
      <alignment vertical="top"/>
    </xf>
    <xf numFmtId="0" fontId="11" fillId="3" borderId="22" xfId="9" applyFont="1" applyFill="1" applyBorder="1" applyAlignment="1">
      <alignment vertical="top"/>
    </xf>
    <xf numFmtId="0" fontId="10" fillId="3" borderId="10" xfId="9" applyFont="1" applyFill="1" applyBorder="1" applyAlignment="1">
      <alignment vertical="top"/>
    </xf>
    <xf numFmtId="0" fontId="10" fillId="3" borderId="20" xfId="9" applyFont="1" applyFill="1" applyBorder="1" applyAlignment="1">
      <alignment vertical="top"/>
    </xf>
    <xf numFmtId="0" fontId="11" fillId="0" borderId="9" xfId="9" quotePrefix="1" applyFont="1" applyBorder="1" applyAlignment="1">
      <alignment vertical="top"/>
    </xf>
    <xf numFmtId="0" fontId="11" fillId="0" borderId="9" xfId="9" applyFont="1" applyBorder="1" applyAlignment="1">
      <alignment vertical="top"/>
    </xf>
    <xf numFmtId="0" fontId="10" fillId="0" borderId="10" xfId="9" applyFont="1" applyBorder="1" applyAlignment="1">
      <alignment vertical="top"/>
    </xf>
    <xf numFmtId="0" fontId="10" fillId="0" borderId="20" xfId="9" applyFont="1" applyBorder="1" applyAlignment="1">
      <alignment vertical="top"/>
    </xf>
    <xf numFmtId="0" fontId="11" fillId="3" borderId="9" xfId="9" applyFont="1" applyFill="1" applyBorder="1" applyAlignment="1">
      <alignment vertical="top"/>
    </xf>
    <xf numFmtId="0" fontId="11" fillId="3" borderId="10" xfId="9" applyFont="1" applyFill="1" applyBorder="1" applyAlignment="1">
      <alignment vertical="top"/>
    </xf>
    <xf numFmtId="0" fontId="11" fillId="3" borderId="20" xfId="9" applyFont="1" applyFill="1" applyBorder="1" applyAlignment="1">
      <alignment vertical="top"/>
    </xf>
    <xf numFmtId="0" fontId="11" fillId="4" borderId="9" xfId="9" applyFont="1" applyFill="1" applyBorder="1" applyAlignment="1">
      <alignment vertical="top"/>
    </xf>
    <xf numFmtId="0" fontId="11" fillId="8" borderId="9" xfId="9" applyFont="1" applyFill="1" applyBorder="1" applyAlignment="1">
      <alignment vertical="top"/>
    </xf>
    <xf numFmtId="0" fontId="11" fillId="4" borderId="10" xfId="9" applyFont="1" applyFill="1" applyBorder="1" applyAlignment="1">
      <alignment vertical="top"/>
    </xf>
    <xf numFmtId="0" fontId="11" fillId="0" borderId="10" xfId="9" applyFont="1" applyBorder="1" applyAlignment="1">
      <alignment vertical="top"/>
    </xf>
    <xf numFmtId="0" fontId="11" fillId="4" borderId="22" xfId="9" applyFont="1" applyFill="1" applyBorder="1" applyAlignment="1">
      <alignment vertical="top"/>
    </xf>
    <xf numFmtId="0" fontId="11" fillId="4" borderId="20" xfId="9" applyFont="1" applyFill="1" applyBorder="1" applyAlignment="1">
      <alignment vertical="top"/>
    </xf>
    <xf numFmtId="0" fontId="11" fillId="4" borderId="0" xfId="9" applyFont="1" applyFill="1" applyAlignment="1">
      <alignment vertical="top"/>
    </xf>
    <xf numFmtId="0" fontId="11" fillId="0" borderId="0" xfId="9" applyFont="1" applyAlignment="1">
      <alignment vertical="top"/>
    </xf>
    <xf numFmtId="0" fontId="10" fillId="3" borderId="22" xfId="9" applyFont="1" applyFill="1" applyBorder="1" applyAlignment="1">
      <alignment vertical="top"/>
    </xf>
    <xf numFmtId="0" fontId="10" fillId="4" borderId="0" xfId="9" applyFont="1" applyFill="1" applyAlignment="1">
      <alignment horizontal="right" vertical="top"/>
    </xf>
    <xf numFmtId="0" fontId="11" fillId="0" borderId="22" xfId="9" applyFont="1" applyBorder="1" applyAlignment="1">
      <alignment vertical="top"/>
    </xf>
    <xf numFmtId="0" fontId="11" fillId="3" borderId="22" xfId="4" applyFont="1" applyFill="1" applyBorder="1" applyAlignment="1">
      <alignment vertical="center"/>
    </xf>
  </cellXfs>
  <cellStyles count="16">
    <cellStyle name="Bình thường" xfId="0" builtinId="0"/>
    <cellStyle name="Normal 2" xfId="8" xr:uid="{00000000-0005-0000-0000-000002000000}"/>
    <cellStyle name="Normal 3" xfId="15" xr:uid="{68CB66C8-6D31-403D-9C5E-5C5D02E39C6C}"/>
    <cellStyle name="Siêu kết nối" xfId="7" builtinId="8"/>
    <cellStyle name="標準 2" xfId="3" xr:uid="{00000000-0005-0000-0000-000003000000}"/>
    <cellStyle name="標準 2 2" xfId="5" xr:uid="{00000000-0005-0000-0000-000004000000}"/>
    <cellStyle name="標準 2 2 2" xfId="11" xr:uid="{57D37E37-5090-431C-AD5C-5F585170AEC4}"/>
    <cellStyle name="標準 2 3" xfId="13" xr:uid="{E23825B1-A509-4791-ACB0-92712BA33D9C}"/>
    <cellStyle name="標準 3" xfId="4" xr:uid="{00000000-0005-0000-0000-000005000000}"/>
    <cellStyle name="標準 3 4" xfId="10" xr:uid="{88B4F7F9-0C53-4EDA-AA4C-6217A5B58E9E}"/>
    <cellStyle name="標準 4" xfId="6" xr:uid="{00000000-0005-0000-0000-000006000000}"/>
    <cellStyle name="標準 5" xfId="9" xr:uid="{B58D6216-5C31-4CC9-B9B6-9E35310DF44E}"/>
    <cellStyle name="標準 5 2" xfId="14" xr:uid="{56D09407-599A-4C15-AFB6-AD6693141B5C}"/>
    <cellStyle name="標準 6" xfId="12" xr:uid="{64BB94C6-FF02-4EC0-9426-388CBDA9DC42}"/>
    <cellStyle name="標準_0103_M01_010_詳細_業務_失効処理" xfId="1" xr:uid="{00000000-0005-0000-0000-000008000000}"/>
    <cellStyle name="標準_M0001_詳細_画面_ビジタートップ" xfId="2" xr:uid="{00000000-0005-0000-0000-00000A000000}"/>
  </cellStyles>
  <dxfs count="0"/>
  <tableStyles count="0" defaultTableStyle="TableStyleMedium2" defaultPivotStyle="PivotStyleLight16"/>
  <colors>
    <mruColors>
      <color rgb="FF0000FF"/>
      <color rgb="FF5B9BD5"/>
      <color rgb="FF7F7F7F"/>
      <color rgb="FFFFCCFF"/>
      <color rgb="FFB4C6E7"/>
      <color rgb="FF33CC33"/>
      <color rgb="FFFBE6D9"/>
      <color rgb="FFFCEBE0"/>
      <color rgb="FFFEF8F4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133349</xdr:colOff>
      <xdr:row>9</xdr:row>
      <xdr:rowOff>76200</xdr:rowOff>
    </xdr:from>
    <xdr:to>
      <xdr:col>43</xdr:col>
      <xdr:colOff>28575</xdr:colOff>
      <xdr:row>29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1219199" y="1447800"/>
          <a:ext cx="6591301" cy="29718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ffectLst>
          <a:outerShdw dist="17961" dir="2700000" algn="ctr" rotWithShape="0">
            <a:srgbClr val="333333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ja-JP" alt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33</xdr:col>
      <xdr:colOff>10313</xdr:colOff>
      <xdr:row>25</xdr:row>
      <xdr:rowOff>19499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D62D19-D6D0-46D8-991E-5609CC4D3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657225"/>
          <a:ext cx="5649113" cy="3219899"/>
        </a:xfrm>
        <a:prstGeom prst="rect">
          <a:avLst/>
        </a:prstGeom>
        <a:ln>
          <a:solidFill>
            <a:schemeClr val="bg1">
              <a:lumMod val="85000"/>
            </a:schemeClr>
          </a:solidFill>
        </a:ln>
      </xdr:spPr>
    </xdr:pic>
    <xdr:clientData/>
  </xdr:twoCellAnchor>
  <xdr:twoCellAnchor>
    <xdr:from>
      <xdr:col>26</xdr:col>
      <xdr:colOff>123825</xdr:colOff>
      <xdr:row>5</xdr:row>
      <xdr:rowOff>38100</xdr:rowOff>
    </xdr:from>
    <xdr:to>
      <xdr:col>28</xdr:col>
      <xdr:colOff>13875</xdr:colOff>
      <xdr:row>6</xdr:row>
      <xdr:rowOff>65700</xdr:rowOff>
    </xdr:to>
    <xdr:sp macro="" textlink="画面項目定義!B5">
      <xdr:nvSpPr>
        <xdr:cNvPr id="17" name="四角形: 角を丸くする 156">
          <a:extLst>
            <a:ext uri="{FF2B5EF4-FFF2-40B4-BE49-F238E27FC236}">
              <a16:creationId xmlns:a16="http://schemas.microsoft.com/office/drawing/2014/main" id="{6CEB457F-0B92-4C79-B939-A670A55DAC5D}"/>
            </a:ext>
          </a:extLst>
        </xdr:cNvPr>
        <xdr:cNvSpPr/>
      </xdr:nvSpPr>
      <xdr:spPr>
        <a:xfrm>
          <a:off x="4857750" y="847725"/>
          <a:ext cx="252000" cy="180000"/>
        </a:xfrm>
        <a:prstGeom prst="roundRect">
          <a:avLst/>
        </a:prstGeom>
        <a:noFill/>
        <a:ln w="12700" cap="flat" cmpd="sng" algn="ctr">
          <a:solidFill>
            <a:srgbClr val="FF0000"/>
          </a:solidFill>
          <a:prstDash val="sysDash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fld id="{ACE74D84-7AB0-4D72-A63E-55B6F984BF08}" type="TxLink">
            <a:rPr kumimoji="1" lang="en-US" altLang="en-US" sz="900" b="0" i="0" u="none" strike="noStrike" baseline="0">
              <a:solidFill>
                <a:srgbClr val="000000"/>
              </a:solidFill>
              <a:latin typeface="Meiryo UI"/>
              <a:ea typeface="Meiryo UI"/>
            </a:rPr>
            <a:pPr algn="ctr"/>
            <a:t>2</a:t>
          </a:fld>
          <a:endParaRPr kumimoji="1"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76200</xdr:colOff>
      <xdr:row>9</xdr:row>
      <xdr:rowOff>66675</xdr:rowOff>
    </xdr:from>
    <xdr:to>
      <xdr:col>25</xdr:col>
      <xdr:colOff>166275</xdr:colOff>
      <xdr:row>10</xdr:row>
      <xdr:rowOff>94275</xdr:rowOff>
    </xdr:to>
    <xdr:sp macro="" textlink="画面項目定義!B7">
      <xdr:nvSpPr>
        <xdr:cNvPr id="18" name="四角形: 角を丸くする 156">
          <a:extLst>
            <a:ext uri="{FF2B5EF4-FFF2-40B4-BE49-F238E27FC236}">
              <a16:creationId xmlns:a16="http://schemas.microsoft.com/office/drawing/2014/main" id="{5996472E-79BF-444E-9266-3F65CB9879DF}"/>
            </a:ext>
          </a:extLst>
        </xdr:cNvPr>
        <xdr:cNvSpPr/>
      </xdr:nvSpPr>
      <xdr:spPr>
        <a:xfrm>
          <a:off x="4438650" y="1485900"/>
          <a:ext cx="252000" cy="180000"/>
        </a:xfrm>
        <a:prstGeom prst="roundRect">
          <a:avLst/>
        </a:prstGeom>
        <a:noFill/>
        <a:ln w="12700" cap="flat" cmpd="sng" algn="ctr">
          <a:solidFill>
            <a:srgbClr val="FF0000"/>
          </a:solidFill>
          <a:prstDash val="sysDash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fld id="{70E51DF7-3985-4CDD-AF54-8E9BF2707F9E}" type="TxLink">
            <a:rPr kumimoji="1" lang="en-US" altLang="en-US" sz="900" b="0" i="0" u="none" strike="noStrike" baseline="0">
              <a:solidFill>
                <a:srgbClr val="000000"/>
              </a:solidFill>
              <a:latin typeface="Meiryo UI"/>
              <a:ea typeface="Meiryo UI"/>
            </a:rPr>
            <a:pPr algn="ctr"/>
            <a:t>4</a:t>
          </a:fld>
          <a:endParaRPr kumimoji="1"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114300</xdr:colOff>
      <xdr:row>12</xdr:row>
      <xdr:rowOff>123825</xdr:rowOff>
    </xdr:from>
    <xdr:to>
      <xdr:col>15</xdr:col>
      <xdr:colOff>4350</xdr:colOff>
      <xdr:row>13</xdr:row>
      <xdr:rowOff>151425</xdr:rowOff>
    </xdr:to>
    <xdr:sp macro="" textlink="画面項目定義!B9">
      <xdr:nvSpPr>
        <xdr:cNvPr id="19" name="四角形: 角を丸くする 156">
          <a:extLst>
            <a:ext uri="{FF2B5EF4-FFF2-40B4-BE49-F238E27FC236}">
              <a16:creationId xmlns:a16="http://schemas.microsoft.com/office/drawing/2014/main" id="{DFC2068A-FCA3-4D2E-8502-B0446E2773E2}"/>
            </a:ext>
          </a:extLst>
        </xdr:cNvPr>
        <xdr:cNvSpPr/>
      </xdr:nvSpPr>
      <xdr:spPr>
        <a:xfrm>
          <a:off x="2438400" y="2000250"/>
          <a:ext cx="252000" cy="180000"/>
        </a:xfrm>
        <a:prstGeom prst="roundRect">
          <a:avLst/>
        </a:prstGeom>
        <a:noFill/>
        <a:ln w="12700" cap="flat" cmpd="sng" algn="ctr">
          <a:solidFill>
            <a:srgbClr val="FF0000"/>
          </a:solidFill>
          <a:prstDash val="sysDash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fld id="{41D3F99C-A007-49EF-987E-7ED0F2E69EB5}" type="TxLink">
            <a:rPr kumimoji="1" lang="en-US" altLang="en-US" sz="900" b="0" i="0" u="none" strike="noStrike" baseline="0">
              <a:solidFill>
                <a:srgbClr val="000000"/>
              </a:solidFill>
              <a:latin typeface="Meiryo UI"/>
              <a:ea typeface="Meiryo UI"/>
            </a:rPr>
            <a:pPr algn="ctr"/>
            <a:t>6</a:t>
          </a:fld>
          <a:endParaRPr kumimoji="1"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74.158.247\ecteam\Documents%20and%20Settings\azuma\&#12487;&#12473;&#12463;&#12488;&#12483;&#12503;\API&#65286;&#12501;&#12449;&#12452;&#12523;&#38917;&#30446;&#26696;&#65288;&#26666;&#24335;&#27880;&#25991;&#12486;&#12540;&#12502;&#12523;&#65289;\API&#65286;&#12501;&#12449;&#12452;&#12523;&#38917;&#30446;&#26696;&#65288;&#25237;&#20449;&#27880;&#25991;&#12486;&#12540;&#12502;&#12523;&#65289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bifptllc.sharepoint.com/MyWork/04.LendingImprovement/11.Batch&#20462;&#27491;/02_DB&#35373;&#35336;/03_&#12486;&#12540;&#12502;&#12523;&#23450;&#32681;&#26360;.xls" TargetMode="External"/><Relationship Id="rId1" Type="http://schemas.openxmlformats.org/officeDocument/2006/relationships/externalLinkPath" Target="/MyWork/04.LendingImprovement/11.Batch&#20462;&#27491;/02_DB&#35373;&#35336;/03_&#12486;&#12540;&#12502;&#12523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DIATE_USER_ATTRIBUTE_INFO(&#20210;&#20171;&#26989;&#32773;&#39015;&#23458;&#21475;&#24231;&#23646;&#24615;)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csrv11\sbi_share\Users\TOMOKO~1.KAB\AppData\Local\Temp\PO_USER_ATTRBUTE_INFO(&#39015;&#23458;&#21475;&#24231;&#23646;&#24615;).xlsx-revHEAD.svn001.tm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.221\ccs\temp\No3%20CCS&#30330;&#27880;&#21487;&#21542;&#12510;&#12488;&#12522;&#12463;&#12473;_08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atsuya.oosaki\Documents\IFAP\&#26696;&#20214;\Ph1_0905\&#35373;&#35336;&#26360;&#12510;&#12540;&#12472;\&#20837;&#20986;&#37329;\&#12435;&#65343;&#30011;&#38754;&#23450;&#32681;&#26360;_SUB020302_0203-01_&#20837;&#20986;&#37329;&#26126;&#3204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改訂履歴"/>
      <sheetName val="テーブル定義"/>
      <sheetName val="改版履歴"/>
      <sheetName val="目次"/>
      <sheetName val="外部Function処理概要"/>
      <sheetName val="外部Function関連図"/>
      <sheetName val="使用Function・DAO一覧"/>
      <sheetName val="Function処理詳細"/>
      <sheetName val="単体チェック仕様"/>
      <sheetName val="DBチェック仕様"/>
      <sheetName val="ロック対象テーブル一覧"/>
      <sheetName val="テーブル参照仕様（国内株式注文サマリ）"/>
      <sheetName val="テーブル更新仕様(国内株式注文サマリ）"/>
      <sheetName val="テーブル登録仕様(国内株式注文移動管理)"/>
      <sheetName val="テーブル更新仕様(国内株式注文移動管理)"/>
      <sheetName val="OutDTO編集仕様"/>
      <sheetName val="Function処理詳細 (別紙)"/>
      <sheetName val="入力項目定義書"/>
      <sheetName val="出力項目定義書"/>
      <sheetName val="信用取引委託保証金計算の見直しPh2(②CCS仮計算)調査(C"/>
      <sheetName val="API＆ファイル項目案（投信注文テーブル）"/>
      <sheetName val="list"/>
      <sheetName val="基本設計_B-01-02_郵便番号データ取込み.xlsx"/>
      <sheetName val="Sheet1"/>
      <sheetName val="不具合原因リスト"/>
      <sheetName val="指摘要因_指定現象統計"/>
      <sheetName val="Pj."/>
      <sheetName val="入力値"/>
      <sheetName val="定義"/>
      <sheetName val="Sheet2"/>
      <sheetName val="画面一覧 (ステータス)"/>
      <sheetName val="指摘要因"/>
      <sheetName val="指摘現象_指摘要因_統計"/>
      <sheetName val="code"/>
      <sheetName val="リスト"/>
      <sheetName val="全体スケジュール"/>
      <sheetName val="パラメータ"/>
      <sheetName val="Calculating sheet"/>
      <sheetName val="リストデータ"/>
      <sheetName val="マスタ"/>
      <sheetName val="動作環境一覧"/>
      <sheetName val="const"/>
      <sheetName val="リストシート"/>
      <sheetName val="マスタシート"/>
      <sheetName val="（記載例）ディスクレーマ構築一覧"/>
      <sheetName val="（リスト）"/>
      <sheetName val="リスト一覧"/>
      <sheetName val="master"/>
      <sheetName val="実施管理"/>
      <sheetName val="リスト選択肢"/>
      <sheetName val="選択肢"/>
      <sheetName val="雛型"/>
      <sheetName val="（WK）リスト設定用"/>
      <sheetName val="define"/>
      <sheetName val="option"/>
      <sheetName val="設定"/>
      <sheetName val="WRK"/>
      <sheetName val="CTBL"/>
      <sheetName val="テスト制約集計シート"/>
      <sheetName val="入力規則管理用"/>
      <sheetName val="エクセル用リスト定義"/>
      <sheetName val="項目定義"/>
      <sheetName val="Def"/>
      <sheetName val="見積もり前提"/>
      <sheetName val="基礎データ"/>
      <sheetName val="INDEXES"/>
      <sheetName val="日付ﾃｰﾌﾞﾙ"/>
      <sheetName val="BOM系"/>
      <sheetName val="data"/>
      <sheetName val="#選択肢リスト"/>
      <sheetName val="処理時間の推移"/>
      <sheetName val="688"/>
      <sheetName val="プルダウンリスト定義"/>
      <sheetName val="記号"/>
      <sheetName val="選択リスト"/>
      <sheetName val="リスト値"/>
      <sheetName val="接続先ＦＴｻｰﾊﾞ開発機（HA070CR80）"/>
      <sheetName val="#REF"/>
      <sheetName val="入力規則"/>
      <sheetName val="非機能要件一覧(選択リスト)"/>
      <sheetName val="課題管理表"/>
      <sheetName val="Status"/>
      <sheetName val="ﾌｫﾛｰ96上"/>
      <sheetName val="ステータス説明"/>
      <sheetName val="ref)項目定義"/>
      <sheetName val="4.ref)項目定義"/>
      <sheetName val="【隠しシート】パラメータ"/>
      <sheetName val="リスト選択"/>
      <sheetName val="【印刷不要】定義"/>
      <sheetName val="テストケース"/>
      <sheetName val="【別紙】エラーメッセージ"/>
      <sheetName val="【参考】対象業務のシステム処理概要"/>
      <sheetName val="【別紙】住所ラベル顧客リスト"/>
      <sheetName val="【別紙】財形取引残高報告書(事業主ラベル)"/>
      <sheetName val="【別紙】財形事業主住所ラベル(月次)"/>
      <sheetName val="【別紙】ミリオン事業主住所ラベル(月次)"/>
      <sheetName val="【別紙】ミリオン事業主住所ラベル(半期)"/>
      <sheetName val="【参考】ケース作成観点"/>
      <sheetName val="【別紙】DB更新表"/>
      <sheetName val="【参考】住所ラベル顧客リスト管理"/>
      <sheetName val="【参考】ミリオン事業主住所ラベル(月次)"/>
      <sheetName val="【参考】ミリオン事業主住所ラベル(半期)"/>
      <sheetName val="【参考】財形事業主住所ラベル(月次)"/>
      <sheetName val="【参考】財形取引残高報告書(事業主ラベル)"/>
      <sheetName val="【参考】住所ラベル顧客リスト"/>
      <sheetName val="【参考】パターン表"/>
      <sheetName val="実行順序①"/>
      <sheetName val="実行順序②"/>
      <sheetName val="実行順序③"/>
      <sheetName val="CR、追いつき、品質向上"/>
      <sheetName val="現新比較"/>
      <sheetName val="01_決済日、特殊営業日"/>
      <sheetName val="ホストインタフェース設定表 (FC-CA) "/>
      <sheetName val="基本情報"/>
      <sheetName val="分解AX"/>
      <sheetName val="コール仕様"/>
      <sheetName val="テーブル参照仕様（権利未行使残高情報照会）"/>
      <sheetName val="テーブル参照仕様（前頁）"/>
      <sheetName val="テーブル参照仕様（次頁）"/>
      <sheetName val="テーブル参照仕様（事業会社契約）"/>
      <sheetName val="テーブル参照仕様（回号情報）"/>
      <sheetName val="テーブル参照仕様（権利者契約）"/>
      <sheetName val="テーブル登録仕様（）"/>
      <sheetName val="テーブル参照仕様（事業会社契約テーブル）"/>
      <sheetName val="テーブル参照仕様（権利者契約テーブル）1"/>
      <sheetName val="テーブル参照仕様（権利者契約テーブル）２"/>
      <sheetName val="テーブル参照仕様(権利行使消滅)"/>
      <sheetName val="機能一覧リスト"/>
      <sheetName val="_プルダウン"/>
      <sheetName val="収納レコード数"/>
      <sheetName val="LST"/>
      <sheetName val="見積もり工数シート"/>
      <sheetName val="別紙1_影響画面一覧"/>
      <sheetName val="別紙2_画面イメージ"/>
      <sheetName val="ステータス選択肢"/>
      <sheetName val="INサンプル"/>
      <sheetName val="OUTサンプル"/>
      <sheetName val="W_Sサンプル"/>
      <sheetName val="目次_情報まとめ"/>
      <sheetName val="Function処理詳細_(別紙)"/>
      <sheetName val="6-7_リリース評価 ・その他特記事項"/>
      <sheetName val="出力"/>
      <sheetName val="引数説明"/>
      <sheetName val="品質指標"/>
      <sheetName val="リスト候補値"/>
      <sheetName val="ステータス"/>
      <sheetName val="基本設計_B-01-01_郵便番号データ取得・転送.xlsx"/>
      <sheetName val="表紙"/>
      <sheetName val="入力補助"/>
      <sheetName val="社員リスト"/>
      <sheetName val="項目説明"/>
      <sheetName val="DropData"/>
      <sheetName val="メタ"/>
      <sheetName val="Sheet4"/>
      <sheetName val="基本設計_B-01-02_郵便番号データ取込み_xlsx"/>
      <sheetName val="中分類整理"/>
      <sheetName val="Dictionary"/>
      <sheetName val="言語とCOBOLへの換算係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表紙"/>
      <sheetName val="変更履歴"/>
      <sheetName val="テーブル一覧"/>
      <sheetName val="主キー一覧"/>
      <sheetName val="インデックス一覧"/>
      <sheetName val="シーケンス一覧"/>
      <sheetName val="命名規則"/>
      <sheetName val="ロック順"/>
      <sheetName val="M_STOCK_DESC"/>
      <sheetName val="M_STOCK_LOAN_DESC"/>
      <sheetName val="M_STOCK_LOAN_DESC_HIST"/>
      <sheetName val="M_GENERAL_MASTER"/>
      <sheetName val="M_BUSINESS_DATE"/>
      <sheetName val="M_USER_CTL"/>
      <sheetName val="T_STOCK_ORDER_CTL"/>
      <sheetName val="T_FORCE_SETTLEMENT"/>
      <sheetName val="T_STOCK_POSITION_QTY_INIT"/>
      <sheetName val="T_STOCK_POSITION_QTY"/>
      <sheetName val="T_STOCK_POSITION_DETAIL_INI"/>
      <sheetName val="T_STOCK_POSITION_DETAIL"/>
      <sheetName val="T_STOCK_POSITION_HIST"/>
      <sheetName val="T_API_ACCESS_LOG"/>
      <sheetName val="T_BATCH_JOB_LOG"/>
      <sheetName val="T_LENDING_ORDER"/>
      <sheetName val="T_CARRY_ORDER"/>
      <sheetName val="T_WEB_ACCESS_LOG"/>
      <sheetName val="B_BATCH_CTL"/>
      <sheetName val="B_BATCH_PROCESS_RESULT"/>
      <sheetName val="B_TABLE_DELETE_CTL"/>
      <sheetName val="T_SIM_LOAN_REMAIN"/>
      <sheetName val="T_SIM_LENDING_DETAIL"/>
      <sheetName val="T_SIM_STOCK_LOAN_REMAIN"/>
      <sheetName val="T_SIM_SAITANPO"/>
      <sheetName val="T_PREMIUM_DIFF"/>
      <sheetName val="T_DS_ACCOUNT_TRANSFER"/>
      <sheetName val="T_IMP_SYS_MARGIN_BACK"/>
      <sheetName val="M_CA_CODE_MASTER"/>
      <sheetName val="T_LIMIT_PRICE"/>
      <sheetName val="T_PRICE_INFO"/>
      <sheetName val="T_CA_INFO"/>
      <sheetName val="T_CA_INFO_DISP"/>
      <sheetName val="M_AUTH_CTL"/>
      <sheetName val="M_MARKET"/>
      <sheetName val="T_STOCK_STATUS"/>
      <sheetName val="T_STOCK_STATUS_DAILY"/>
      <sheetName val="T_STOCK_STATUS_TDY"/>
      <sheetName val="T_STOCK_STATUS_HIST"/>
      <sheetName val="M_ALERT"/>
      <sheetName val="T_ALERT_STATUS"/>
      <sheetName val="T_ALERT_INFO_LIQUIDATION"/>
      <sheetName val="T_ALERT_INFO_STOCK"/>
      <sheetName val="T_ALERT_MAIL"/>
      <sheetName val="M_B_S_UNIT"/>
      <sheetName val="T_LENDING_APP_INFO"/>
      <sheetName val="T_LENDING_ADOP_RES"/>
      <sheetName val="原本"/>
      <sheetName val="各種データ"/>
      <sheetName val="tack.tate_buy_la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レイアウト"/>
      <sheetName val="更新履歴"/>
      <sheetName val="マスタ"/>
      <sheetName val="MEDIATE_USER_ATTRIBUTE_INFO"/>
      <sheetName val="Sheet1"/>
      <sheetName val="リスト"/>
      <sheetName val="各種データ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レイアウト"/>
      <sheetName val="更新履歴"/>
      <sheetName val="マスタ"/>
    </sheetNames>
    <sheetDataSet>
      <sheetData sheetId="0"/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CS発注可否マトリクス"/>
      <sheetName val="CCS発注可否マトリクス(NRI記載)"/>
      <sheetName val="【別紙1】以前ご提示頂きました資料"/>
      <sheetName val="【別紙2】一覧非表示案"/>
      <sheetName val="【ご参考】目論見書の閲覧チェック機能について"/>
      <sheetName val="改訂履歴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リスト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AY54"/>
  <sheetViews>
    <sheetView showGridLines="0" tabSelected="1" view="pageBreakPreview" zoomScaleNormal="100" zoomScaleSheetLayoutView="100" workbookViewId="0"/>
  </sheetViews>
  <sheetFormatPr defaultColWidth="2.7109375" defaultRowHeight="12" customHeight="1"/>
  <cols>
    <col min="1" max="38" width="2.7109375" style="65"/>
    <col min="39" max="39" width="2.7109375" style="65" customWidth="1"/>
    <col min="40" max="16384" width="2.7109375" style="65"/>
  </cols>
  <sheetData>
    <row r="1" spans="1:51" ht="12" customHeight="1">
      <c r="A1" s="62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4"/>
    </row>
    <row r="2" spans="1:51" ht="12" customHeight="1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8"/>
    </row>
    <row r="3" spans="1:51" ht="12" customHeight="1">
      <c r="A3" s="66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8"/>
    </row>
    <row r="4" spans="1:51" ht="12" customHeight="1">
      <c r="A4" s="66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8"/>
    </row>
    <row r="5" spans="1:51" ht="12" customHeight="1">
      <c r="A5" s="66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8"/>
    </row>
    <row r="6" spans="1:51" ht="12" customHeight="1">
      <c r="A6" s="66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8"/>
    </row>
    <row r="7" spans="1:51" ht="12" customHeight="1">
      <c r="A7" s="66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8"/>
    </row>
    <row r="8" spans="1:51" ht="12" customHeight="1">
      <c r="A8" s="66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8"/>
    </row>
    <row r="9" spans="1:51" ht="12" customHeight="1">
      <c r="A9" s="66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8"/>
    </row>
    <row r="10" spans="1:51" ht="12" customHeight="1">
      <c r="A10" s="66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8"/>
    </row>
    <row r="11" spans="1:51" ht="12" customHeight="1">
      <c r="A11" s="66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8"/>
    </row>
    <row r="12" spans="1:51" ht="12" customHeight="1">
      <c r="A12" s="66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8"/>
    </row>
    <row r="13" spans="1:51" ht="12" customHeight="1">
      <c r="A13" s="66"/>
      <c r="B13" s="67"/>
      <c r="C13" s="67"/>
      <c r="D13" s="67"/>
      <c r="E13" s="67"/>
      <c r="F13" s="67"/>
      <c r="G13" s="67"/>
      <c r="H13" s="67"/>
      <c r="I13" s="67"/>
      <c r="J13" s="159" t="str">
        <f>J52</f>
        <v>電子交付同意データ登録メッセージ一覧</v>
      </c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8"/>
    </row>
    <row r="14" spans="1:51" ht="12" customHeight="1">
      <c r="A14" s="66"/>
      <c r="B14" s="67"/>
      <c r="C14" s="67"/>
      <c r="D14" s="67"/>
      <c r="E14" s="67"/>
      <c r="F14" s="67"/>
      <c r="G14" s="67"/>
      <c r="H14" s="67"/>
      <c r="I14" s="67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  <c r="AA14" s="159"/>
      <c r="AB14" s="159"/>
      <c r="AC14" s="159"/>
      <c r="AD14" s="159"/>
      <c r="AE14" s="159"/>
      <c r="AF14" s="159"/>
      <c r="AG14" s="159"/>
      <c r="AH14" s="159"/>
      <c r="AI14" s="159"/>
      <c r="AJ14" s="159"/>
      <c r="AK14" s="159"/>
      <c r="AL14" s="159"/>
      <c r="AM14" s="159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8"/>
    </row>
    <row r="15" spans="1:51" ht="12" customHeight="1">
      <c r="A15" s="66"/>
      <c r="B15" s="67"/>
      <c r="C15" s="67"/>
      <c r="D15" s="67"/>
      <c r="E15" s="67"/>
      <c r="F15" s="67"/>
      <c r="G15" s="67"/>
      <c r="H15" s="67"/>
      <c r="I15" s="67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59"/>
      <c r="AB15" s="159"/>
      <c r="AC15" s="159"/>
      <c r="AD15" s="159"/>
      <c r="AE15" s="159"/>
      <c r="AF15" s="159"/>
      <c r="AG15" s="159"/>
      <c r="AH15" s="159"/>
      <c r="AI15" s="159"/>
      <c r="AJ15" s="159"/>
      <c r="AK15" s="159"/>
      <c r="AL15" s="159"/>
      <c r="AM15" s="159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8"/>
    </row>
    <row r="16" spans="1:51" ht="12" customHeight="1">
      <c r="A16" s="66"/>
      <c r="B16" s="67"/>
      <c r="C16" s="67"/>
      <c r="D16" s="67"/>
      <c r="E16" s="67"/>
      <c r="F16" s="67"/>
      <c r="G16" s="67"/>
      <c r="H16" s="67"/>
      <c r="I16" s="67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  <c r="AL16" s="159"/>
      <c r="AM16" s="159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8"/>
    </row>
    <row r="17" spans="1:51" ht="12" customHeight="1">
      <c r="A17" s="66"/>
      <c r="B17" s="67"/>
      <c r="C17" s="67"/>
      <c r="D17" s="67"/>
      <c r="E17" s="67"/>
      <c r="F17" s="67"/>
      <c r="G17" s="67"/>
      <c r="H17" s="67"/>
      <c r="I17" s="67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8"/>
    </row>
    <row r="18" spans="1:51" ht="12" customHeight="1">
      <c r="A18" s="66"/>
      <c r="B18" s="67"/>
      <c r="C18" s="67"/>
      <c r="D18" s="67"/>
      <c r="E18" s="67"/>
      <c r="F18" s="67"/>
      <c r="G18" s="67"/>
      <c r="H18" s="67"/>
      <c r="I18" s="67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159"/>
      <c r="AK18" s="159"/>
      <c r="AL18" s="159"/>
      <c r="AM18" s="159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8"/>
    </row>
    <row r="19" spans="1:51" ht="12" customHeight="1">
      <c r="A19" s="66"/>
      <c r="B19" s="67"/>
      <c r="C19" s="67"/>
      <c r="D19" s="67"/>
      <c r="E19" s="67"/>
      <c r="F19" s="67"/>
      <c r="G19" s="67"/>
      <c r="H19" s="67"/>
      <c r="I19" s="67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8"/>
    </row>
    <row r="20" spans="1:51" ht="12" customHeight="1">
      <c r="A20" s="66"/>
      <c r="B20" s="67"/>
      <c r="C20" s="67"/>
      <c r="D20" s="67"/>
      <c r="E20" s="67"/>
      <c r="F20" s="67"/>
      <c r="G20" s="67"/>
      <c r="H20" s="67"/>
      <c r="I20" s="67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8"/>
    </row>
    <row r="21" spans="1:51" ht="12" customHeight="1">
      <c r="A21" s="66"/>
      <c r="B21" s="67"/>
      <c r="C21" s="67"/>
      <c r="D21" s="67"/>
      <c r="E21" s="67"/>
      <c r="F21" s="67"/>
      <c r="G21" s="67"/>
      <c r="H21" s="67"/>
      <c r="I21" s="67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  <c r="AD21" s="160"/>
      <c r="AE21" s="160"/>
      <c r="AF21" s="160"/>
      <c r="AG21" s="160"/>
      <c r="AH21" s="160"/>
      <c r="AI21" s="160"/>
      <c r="AJ21" s="160"/>
      <c r="AK21" s="160"/>
      <c r="AL21" s="160"/>
      <c r="AM21" s="160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8"/>
    </row>
    <row r="22" spans="1:51" ht="12" customHeight="1">
      <c r="A22" s="66"/>
      <c r="B22" s="67"/>
      <c r="C22" s="67"/>
      <c r="D22" s="67"/>
      <c r="E22" s="67"/>
      <c r="F22" s="67"/>
      <c r="G22" s="67"/>
      <c r="H22" s="67"/>
      <c r="I22" s="67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0"/>
      <c r="AJ22" s="160"/>
      <c r="AK22" s="160"/>
      <c r="AL22" s="160"/>
      <c r="AM22" s="160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8"/>
    </row>
    <row r="23" spans="1:51" ht="12" customHeight="1">
      <c r="A23" s="66"/>
      <c r="B23" s="67"/>
      <c r="C23" s="67"/>
      <c r="D23" s="67"/>
      <c r="E23" s="67"/>
      <c r="F23" s="67"/>
      <c r="G23" s="67"/>
      <c r="H23" s="67"/>
      <c r="I23" s="67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60"/>
      <c r="AI23" s="160"/>
      <c r="AJ23" s="160"/>
      <c r="AK23" s="160"/>
      <c r="AL23" s="160"/>
      <c r="AM23" s="160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8"/>
    </row>
    <row r="24" spans="1:51" ht="12" customHeight="1">
      <c r="A24" s="66"/>
      <c r="B24" s="67"/>
      <c r="C24" s="67"/>
      <c r="D24" s="67"/>
      <c r="E24" s="67"/>
      <c r="F24" s="67"/>
      <c r="G24" s="67"/>
      <c r="H24" s="67"/>
      <c r="I24" s="67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  <c r="AD24" s="160"/>
      <c r="AE24" s="160"/>
      <c r="AF24" s="160"/>
      <c r="AG24" s="160"/>
      <c r="AH24" s="160"/>
      <c r="AI24" s="160"/>
      <c r="AJ24" s="160"/>
      <c r="AK24" s="160"/>
      <c r="AL24" s="160"/>
      <c r="AM24" s="160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8"/>
    </row>
    <row r="25" spans="1:51" ht="12" customHeight="1">
      <c r="A25" s="66"/>
      <c r="B25" s="67"/>
      <c r="C25" s="67"/>
      <c r="D25" s="67"/>
      <c r="E25" s="67"/>
      <c r="F25" s="67"/>
      <c r="G25" s="67"/>
      <c r="H25" s="67"/>
      <c r="I25" s="67"/>
      <c r="J25" s="161">
        <f>J53</f>
        <v>46171</v>
      </c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  <c r="AK25" s="161"/>
      <c r="AL25" s="161"/>
      <c r="AM25" s="161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8"/>
    </row>
    <row r="26" spans="1:51" ht="12" customHeight="1">
      <c r="A26" s="66"/>
      <c r="B26" s="67"/>
      <c r="C26" s="67"/>
      <c r="D26" s="67"/>
      <c r="E26" s="67"/>
      <c r="F26" s="67"/>
      <c r="G26" s="67"/>
      <c r="H26" s="67"/>
      <c r="I26" s="67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1"/>
      <c r="AL26" s="161"/>
      <c r="AM26" s="161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8"/>
    </row>
    <row r="27" spans="1:51" ht="12" customHeight="1">
      <c r="A27" s="66"/>
      <c r="B27" s="67"/>
      <c r="C27" s="67"/>
      <c r="D27" s="67"/>
      <c r="E27" s="67"/>
      <c r="F27" s="67"/>
      <c r="G27" s="67"/>
      <c r="H27" s="67"/>
      <c r="I27" s="67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  <c r="AK27" s="161"/>
      <c r="AL27" s="161"/>
      <c r="AM27" s="161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8"/>
    </row>
    <row r="28" spans="1:51" ht="12" customHeight="1">
      <c r="A28" s="66"/>
      <c r="B28" s="67"/>
      <c r="C28" s="67"/>
      <c r="D28" s="67"/>
      <c r="E28" s="67"/>
      <c r="F28" s="67"/>
      <c r="G28" s="67"/>
      <c r="H28" s="67"/>
      <c r="I28" s="67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1"/>
      <c r="AK28" s="161"/>
      <c r="AL28" s="161"/>
      <c r="AM28" s="161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8"/>
    </row>
    <row r="29" spans="1:51" ht="12" customHeight="1">
      <c r="A29" s="66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8"/>
    </row>
    <row r="30" spans="1:51" ht="12" customHeight="1">
      <c r="A30" s="66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8"/>
    </row>
    <row r="31" spans="1:51" ht="12" customHeight="1">
      <c r="A31" s="66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8"/>
    </row>
    <row r="32" spans="1:51" ht="12" customHeight="1">
      <c r="A32" s="66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8"/>
    </row>
    <row r="33" spans="1:51" ht="12" customHeight="1">
      <c r="A33" s="66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8"/>
    </row>
    <row r="34" spans="1:51" ht="12" customHeight="1">
      <c r="A34" s="66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8"/>
    </row>
    <row r="35" spans="1:51" ht="12" customHeight="1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8"/>
    </row>
    <row r="36" spans="1:51" ht="12" customHeight="1">
      <c r="A36" s="66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8"/>
    </row>
    <row r="37" spans="1:51" ht="12" customHeight="1">
      <c r="A37" s="66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8"/>
    </row>
    <row r="38" spans="1:51" ht="12" customHeight="1">
      <c r="A38" s="66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8"/>
    </row>
    <row r="39" spans="1:51" ht="12" customHeight="1">
      <c r="A39" s="66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8"/>
    </row>
    <row r="40" spans="1:51" ht="12" customHeight="1">
      <c r="A40" s="66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8"/>
    </row>
    <row r="41" spans="1:51" ht="12" customHeight="1">
      <c r="A41" s="66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8"/>
    </row>
    <row r="42" spans="1:51" ht="12" customHeight="1">
      <c r="A42" s="66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67"/>
      <c r="AW42" s="67"/>
      <c r="AX42" s="67"/>
      <c r="AY42" s="68"/>
    </row>
    <row r="43" spans="1:51" ht="12" customHeight="1">
      <c r="A43" s="66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8"/>
    </row>
    <row r="44" spans="1:51" ht="12" customHeight="1">
      <c r="A44" s="66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8"/>
    </row>
    <row r="45" spans="1:51" ht="12" customHeight="1">
      <c r="A45" s="69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 t="s">
        <v>0</v>
      </c>
      <c r="AX45" s="70"/>
      <c r="AY45" s="71"/>
    </row>
    <row r="46" spans="1:51" ht="12" customHeight="1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X46" s="67"/>
      <c r="AY46" s="67"/>
    </row>
    <row r="47" spans="1:51" ht="12" customHeight="1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7"/>
      <c r="AS47" s="67"/>
      <c r="AT47" s="67"/>
      <c r="AU47" s="67"/>
      <c r="AV47" s="67"/>
      <c r="AW47" s="67"/>
      <c r="AX47" s="67"/>
      <c r="AY47" s="67"/>
    </row>
    <row r="48" spans="1:51" ht="12" customHeight="1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  <c r="AW48" s="67"/>
      <c r="AX48" s="67"/>
      <c r="AY48" s="67"/>
    </row>
    <row r="49" spans="1:37" ht="12" customHeight="1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</row>
    <row r="50" spans="1:37" ht="12" customHeight="1">
      <c r="A50" s="67"/>
      <c r="B50" s="67"/>
      <c r="C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72"/>
    </row>
    <row r="51" spans="1:37" ht="12" customHeight="1" thickBot="1">
      <c r="C51" s="67" t="s">
        <v>1</v>
      </c>
      <c r="D51" s="67"/>
      <c r="E51" s="67"/>
      <c r="F51" s="67"/>
      <c r="G51" s="67"/>
      <c r="H51" s="67"/>
      <c r="J51" s="67"/>
      <c r="K51" s="67"/>
      <c r="L51" s="67"/>
      <c r="M51" s="67"/>
      <c r="N51" s="67"/>
      <c r="O51" s="67"/>
      <c r="P51" s="67"/>
      <c r="Q51" s="67"/>
      <c r="R51" s="67"/>
      <c r="U51" s="67"/>
      <c r="V51" s="67"/>
      <c r="W51" s="67"/>
      <c r="X51" s="67"/>
      <c r="Y51" s="67"/>
      <c r="Z51" s="67"/>
      <c r="AK51" s="72"/>
    </row>
    <row r="52" spans="1:37" ht="45.6" customHeight="1" thickBot="1">
      <c r="D52" s="178" t="s">
        <v>2</v>
      </c>
      <c r="E52" s="179"/>
      <c r="F52" s="179"/>
      <c r="G52" s="179"/>
      <c r="H52" s="179"/>
      <c r="I52" s="180"/>
      <c r="J52" s="162" t="s">
        <v>3</v>
      </c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4"/>
      <c r="V52" s="67"/>
      <c r="W52" s="67"/>
      <c r="X52" s="67"/>
      <c r="Y52" s="67"/>
      <c r="Z52" s="67"/>
      <c r="AK52" s="72"/>
    </row>
    <row r="53" spans="1:37" ht="12" customHeight="1">
      <c r="D53" s="125" t="s">
        <v>4</v>
      </c>
      <c r="E53" s="73"/>
      <c r="F53" s="73"/>
      <c r="G53" s="73"/>
      <c r="H53" s="73"/>
      <c r="I53" s="74"/>
      <c r="J53" s="156">
        <f>MAX(変更履歴!E4:E33)</f>
        <v>46171</v>
      </c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8"/>
      <c r="V53" s="67"/>
      <c r="W53" s="67"/>
      <c r="X53" s="67"/>
      <c r="Y53" s="67"/>
      <c r="Z53" s="67"/>
    </row>
    <row r="54" spans="1:37" ht="12" customHeight="1">
      <c r="E54" s="67"/>
      <c r="F54" s="67"/>
      <c r="G54" s="67"/>
      <c r="H54" s="67"/>
      <c r="I54" s="67"/>
      <c r="P54" s="67"/>
      <c r="R54" s="67"/>
      <c r="S54" s="67"/>
      <c r="T54" s="67"/>
      <c r="U54" s="67"/>
      <c r="V54" s="67"/>
      <c r="W54" s="67"/>
      <c r="X54" s="67"/>
      <c r="Y54" s="67"/>
      <c r="Z54" s="67"/>
    </row>
  </sheetData>
  <mergeCells count="6">
    <mergeCell ref="J53:U53"/>
    <mergeCell ref="J13:AM20"/>
    <mergeCell ref="J21:AM24"/>
    <mergeCell ref="J25:AM28"/>
    <mergeCell ref="D52:I52"/>
    <mergeCell ref="J52:U52"/>
  </mergeCells>
  <phoneticPr fontId="7"/>
  <printOptions horizontalCentered="1"/>
  <pageMargins left="0.39370078740157483" right="0.39370078740157483" top="0.59055118110236227" bottom="0.39370078740157483" header="0.39370078740157483" footer="0.19685039370078741"/>
  <pageSetup paperSize="9" orientation="landscape" r:id="rId1"/>
  <headerFooter alignWithMargins="0">
    <oddFooter>&amp;C&amp;9&amp;P/&amp;N</oddFooter>
  </headerFooter>
  <rowBreaks count="1" manualBreakCount="1">
    <brk id="4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M37"/>
  <sheetViews>
    <sheetView showGridLines="0" view="pageBreakPreview" zoomScaleNormal="100" zoomScaleSheetLayoutView="100" workbookViewId="0"/>
  </sheetViews>
  <sheetFormatPr defaultColWidth="2.7109375" defaultRowHeight="15.75"/>
  <cols>
    <col min="1" max="1" width="2.7109375" style="53"/>
    <col min="2" max="2" width="5.42578125" style="53" bestFit="1" customWidth="1"/>
    <col min="3" max="3" width="5.42578125" style="53" customWidth="1"/>
    <col min="4" max="4" width="11.5703125" style="53" bestFit="1" customWidth="1"/>
    <col min="5" max="5" width="11.28515625" style="53" bestFit="1" customWidth="1"/>
    <col min="6" max="6" width="10.5703125" style="53" customWidth="1"/>
    <col min="7" max="7" width="23.85546875" style="53" customWidth="1"/>
    <col min="8" max="8" width="94.42578125" style="53" customWidth="1"/>
    <col min="9" max="10" width="8.28515625" style="53" bestFit="1" customWidth="1"/>
    <col min="11" max="11" width="6.42578125" style="53" bestFit="1" customWidth="1"/>
    <col min="12" max="12" width="21.140625" style="53" customWidth="1"/>
    <col min="13" max="16384" width="2.7109375" style="53"/>
  </cols>
  <sheetData>
    <row r="1" spans="1:13">
      <c r="A1" s="75" t="s">
        <v>5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3">
      <c r="A2" s="77"/>
    </row>
    <row r="3" spans="1:13">
      <c r="A3" s="77"/>
      <c r="B3" s="34" t="s">
        <v>6</v>
      </c>
      <c r="C3" s="34" t="s">
        <v>7</v>
      </c>
      <c r="D3" s="34" t="s">
        <v>8</v>
      </c>
      <c r="E3" s="34" t="s">
        <v>9</v>
      </c>
      <c r="F3" s="34" t="s">
        <v>10</v>
      </c>
      <c r="G3" s="34" t="s">
        <v>11</v>
      </c>
      <c r="H3" s="34" t="s">
        <v>12</v>
      </c>
      <c r="I3" s="34" t="s">
        <v>13</v>
      </c>
      <c r="J3" s="34" t="s">
        <v>14</v>
      </c>
      <c r="K3" s="34" t="s">
        <v>15</v>
      </c>
      <c r="L3" s="34" t="s">
        <v>16</v>
      </c>
      <c r="M3" s="78"/>
    </row>
    <row r="4" spans="1:13">
      <c r="A4" s="77"/>
      <c r="B4" s="35" t="s">
        <v>17</v>
      </c>
      <c r="C4" s="33" t="s">
        <v>18</v>
      </c>
      <c r="D4" s="57" t="s">
        <v>19</v>
      </c>
      <c r="E4" s="22">
        <v>46171</v>
      </c>
      <c r="F4" s="23" t="s">
        <v>20</v>
      </c>
      <c r="G4" s="24" t="s">
        <v>21</v>
      </c>
      <c r="H4" s="58" t="s">
        <v>22</v>
      </c>
      <c r="I4" s="20" t="s">
        <v>22</v>
      </c>
      <c r="J4" s="22"/>
      <c r="K4" s="23"/>
      <c r="L4" s="19"/>
      <c r="M4" s="54"/>
    </row>
    <row r="5" spans="1:13">
      <c r="B5" s="15"/>
      <c r="C5" s="33"/>
      <c r="D5" s="57"/>
      <c r="E5" s="22"/>
      <c r="F5" s="23"/>
      <c r="G5" s="59"/>
      <c r="H5" s="21"/>
      <c r="I5" s="20"/>
      <c r="J5" s="22"/>
      <c r="K5" s="23"/>
      <c r="L5" s="19"/>
      <c r="M5" s="54"/>
    </row>
    <row r="6" spans="1:13">
      <c r="B6" s="15"/>
      <c r="C6" s="33"/>
      <c r="D6" s="57"/>
      <c r="E6" s="17"/>
      <c r="F6" s="18"/>
      <c r="G6" s="59"/>
      <c r="H6" s="58"/>
      <c r="I6" s="20"/>
      <c r="J6" s="17"/>
      <c r="K6" s="18"/>
      <c r="L6" s="19"/>
      <c r="M6" s="54"/>
    </row>
    <row r="7" spans="1:13">
      <c r="B7" s="15"/>
      <c r="C7" s="33"/>
      <c r="D7" s="57"/>
      <c r="E7" s="17"/>
      <c r="F7" s="18"/>
      <c r="G7" s="59"/>
      <c r="H7" s="21"/>
      <c r="I7" s="20"/>
      <c r="J7" s="17"/>
      <c r="K7" s="18"/>
      <c r="L7" s="19"/>
      <c r="M7" s="54"/>
    </row>
    <row r="8" spans="1:13">
      <c r="B8" s="15"/>
      <c r="C8" s="33"/>
      <c r="D8" s="57"/>
      <c r="E8" s="17"/>
      <c r="F8" s="18"/>
      <c r="G8" s="59"/>
      <c r="H8" s="21"/>
      <c r="I8" s="20"/>
      <c r="J8" s="17"/>
      <c r="K8" s="18"/>
      <c r="L8" s="19"/>
      <c r="M8" s="54"/>
    </row>
    <row r="9" spans="1:13">
      <c r="B9" s="15"/>
      <c r="C9" s="33"/>
      <c r="D9" s="57"/>
      <c r="E9" s="17"/>
      <c r="F9" s="18"/>
      <c r="G9" s="59"/>
      <c r="H9" s="58"/>
      <c r="I9" s="20"/>
      <c r="J9" s="17"/>
      <c r="K9" s="18"/>
      <c r="L9" s="19"/>
      <c r="M9" s="54"/>
    </row>
    <row r="10" spans="1:13">
      <c r="B10" s="15"/>
      <c r="C10" s="33"/>
      <c r="D10" s="57"/>
      <c r="E10" s="17"/>
      <c r="F10" s="18"/>
      <c r="G10" s="59"/>
      <c r="H10" s="58"/>
      <c r="I10" s="20"/>
      <c r="J10" s="17"/>
      <c r="K10" s="18"/>
      <c r="L10" s="19"/>
      <c r="M10" s="54"/>
    </row>
    <row r="11" spans="1:13">
      <c r="B11" s="15"/>
      <c r="C11" s="33"/>
      <c r="D11" s="57"/>
      <c r="E11" s="17"/>
      <c r="F11" s="18"/>
      <c r="G11" s="59"/>
      <c r="H11" s="58"/>
      <c r="I11" s="20"/>
      <c r="J11" s="17"/>
      <c r="K11" s="18"/>
      <c r="L11" s="19"/>
      <c r="M11" s="54"/>
    </row>
    <row r="12" spans="1:13">
      <c r="B12" s="15"/>
      <c r="C12" s="33"/>
      <c r="D12" s="57"/>
      <c r="E12" s="17"/>
      <c r="F12" s="18"/>
      <c r="G12" s="59"/>
      <c r="H12" s="58"/>
      <c r="I12" s="20"/>
      <c r="J12" s="17"/>
      <c r="K12" s="18"/>
      <c r="L12" s="19"/>
      <c r="M12" s="54"/>
    </row>
    <row r="13" spans="1:13" ht="15.75" customHeight="1">
      <c r="B13" s="15"/>
      <c r="C13" s="33"/>
      <c r="D13" s="16"/>
      <c r="E13" s="17"/>
      <c r="F13" s="36"/>
      <c r="G13" s="59"/>
      <c r="H13" s="21"/>
      <c r="I13" s="20"/>
      <c r="J13" s="17"/>
      <c r="K13" s="18"/>
      <c r="L13" s="19"/>
      <c r="M13" s="54"/>
    </row>
    <row r="14" spans="1:13" ht="15.75" customHeight="1">
      <c r="B14" s="15"/>
      <c r="C14" s="33"/>
      <c r="D14" s="16"/>
      <c r="E14" s="17"/>
      <c r="F14" s="18"/>
      <c r="G14" s="24"/>
      <c r="H14" s="21"/>
      <c r="I14" s="20"/>
      <c r="J14" s="17"/>
      <c r="K14" s="18"/>
      <c r="L14" s="19"/>
      <c r="M14" s="54"/>
    </row>
    <row r="15" spans="1:13" ht="15.75" customHeight="1">
      <c r="B15" s="15"/>
      <c r="C15" s="33"/>
      <c r="D15" s="16"/>
      <c r="E15" s="17"/>
      <c r="F15" s="18"/>
      <c r="G15" s="24"/>
      <c r="H15" s="21"/>
      <c r="I15" s="20"/>
      <c r="J15" s="17"/>
      <c r="K15" s="18"/>
      <c r="L15" s="19"/>
      <c r="M15" s="54"/>
    </row>
    <row r="16" spans="1:13" ht="15.75" customHeight="1">
      <c r="B16" s="15"/>
      <c r="C16" s="33"/>
      <c r="D16" s="16"/>
      <c r="E16" s="17"/>
      <c r="F16" s="18"/>
      <c r="G16" s="24"/>
      <c r="H16" s="21"/>
      <c r="I16" s="20"/>
      <c r="J16" s="17"/>
      <c r="K16" s="18"/>
      <c r="L16" s="19"/>
      <c r="M16" s="54"/>
    </row>
    <row r="17" spans="2:13" ht="15.75" customHeight="1">
      <c r="B17" s="15"/>
      <c r="C17" s="33"/>
      <c r="D17" s="16"/>
      <c r="E17" s="17"/>
      <c r="F17" s="18"/>
      <c r="G17" s="19"/>
      <c r="H17" s="21"/>
      <c r="I17" s="20"/>
      <c r="J17" s="17"/>
      <c r="K17" s="18"/>
      <c r="L17" s="19"/>
      <c r="M17" s="54"/>
    </row>
    <row r="18" spans="2:13" ht="15.75" customHeight="1">
      <c r="B18" s="15"/>
      <c r="C18" s="33"/>
      <c r="D18" s="16"/>
      <c r="E18" s="17"/>
      <c r="F18" s="18"/>
      <c r="G18" s="19"/>
      <c r="H18" s="21"/>
      <c r="I18" s="20"/>
      <c r="J18" s="17"/>
      <c r="K18" s="18"/>
      <c r="L18" s="19"/>
      <c r="M18" s="54"/>
    </row>
    <row r="19" spans="2:13" ht="15.75" customHeight="1">
      <c r="B19" s="15"/>
      <c r="C19" s="33"/>
      <c r="D19" s="16"/>
      <c r="E19" s="17"/>
      <c r="F19" s="18"/>
      <c r="G19" s="19"/>
      <c r="H19" s="21"/>
      <c r="I19" s="20"/>
      <c r="J19" s="17"/>
      <c r="K19" s="18"/>
      <c r="L19" s="19"/>
      <c r="M19" s="54"/>
    </row>
    <row r="20" spans="2:13" ht="15.75" customHeight="1">
      <c r="B20" s="15"/>
      <c r="C20" s="33"/>
      <c r="D20" s="16"/>
      <c r="E20" s="17"/>
      <c r="F20" s="18"/>
      <c r="G20" s="24"/>
      <c r="H20" s="21"/>
      <c r="I20" s="20"/>
      <c r="J20" s="17"/>
      <c r="K20" s="18"/>
      <c r="L20" s="19"/>
      <c r="M20" s="54"/>
    </row>
    <row r="21" spans="2:13" ht="15.75" customHeight="1">
      <c r="B21" s="15"/>
      <c r="C21" s="33"/>
      <c r="D21" s="16"/>
      <c r="E21" s="17"/>
      <c r="F21" s="18"/>
      <c r="G21" s="24"/>
      <c r="H21" s="21"/>
      <c r="I21" s="20"/>
      <c r="J21" s="17"/>
      <c r="K21" s="18"/>
      <c r="L21" s="19"/>
      <c r="M21" s="54"/>
    </row>
    <row r="22" spans="2:13" ht="15.75" customHeight="1">
      <c r="B22" s="15"/>
      <c r="C22" s="33"/>
      <c r="D22" s="16"/>
      <c r="E22" s="17"/>
      <c r="F22" s="18"/>
      <c r="G22" s="24"/>
      <c r="H22" s="21"/>
      <c r="I22" s="20"/>
      <c r="J22" s="17"/>
      <c r="K22" s="18"/>
      <c r="L22" s="19"/>
      <c r="M22" s="54"/>
    </row>
    <row r="23" spans="2:13" ht="15.75" customHeight="1">
      <c r="B23" s="15"/>
      <c r="C23" s="33"/>
      <c r="D23" s="16"/>
      <c r="E23" s="17"/>
      <c r="F23" s="18"/>
      <c r="G23" s="19"/>
      <c r="H23" s="21"/>
      <c r="I23" s="20"/>
      <c r="J23" s="17"/>
      <c r="K23" s="18"/>
      <c r="L23" s="19"/>
      <c r="M23" s="54"/>
    </row>
    <row r="24" spans="2:13" ht="15.75" customHeight="1">
      <c r="B24" s="15"/>
      <c r="C24" s="37"/>
      <c r="D24" s="16"/>
      <c r="E24" s="17"/>
      <c r="F24" s="18"/>
      <c r="G24" s="19"/>
      <c r="H24" s="21"/>
      <c r="I24" s="20"/>
      <c r="J24" s="17"/>
      <c r="K24" s="18"/>
      <c r="L24" s="19"/>
      <c r="M24" s="54"/>
    </row>
    <row r="25" spans="2:13" ht="15.75" customHeight="1">
      <c r="B25" s="15"/>
      <c r="C25" s="37"/>
      <c r="D25" s="16"/>
      <c r="E25" s="17"/>
      <c r="F25" s="18"/>
      <c r="G25" s="19"/>
      <c r="H25" s="21"/>
      <c r="I25" s="20"/>
      <c r="J25" s="17"/>
      <c r="K25" s="18"/>
      <c r="L25" s="19"/>
      <c r="M25" s="54"/>
    </row>
    <row r="26" spans="2:13" ht="15.75" customHeight="1">
      <c r="B26" s="15"/>
      <c r="C26" s="46"/>
      <c r="D26" s="47"/>
      <c r="E26" s="48"/>
      <c r="F26" s="49"/>
      <c r="G26" s="50"/>
      <c r="H26" s="51"/>
      <c r="I26" s="52"/>
      <c r="J26" s="48"/>
      <c r="K26" s="49"/>
      <c r="L26" s="50"/>
      <c r="M26" s="54"/>
    </row>
    <row r="27" spans="2:13" ht="15.75" customHeight="1">
      <c r="B27" s="15"/>
      <c r="C27" s="46"/>
      <c r="D27" s="47"/>
      <c r="E27" s="48"/>
      <c r="F27" s="49"/>
      <c r="G27" s="50"/>
      <c r="H27" s="51"/>
      <c r="I27" s="52"/>
      <c r="J27" s="48"/>
      <c r="K27" s="49"/>
      <c r="L27" s="50"/>
      <c r="M27" s="54"/>
    </row>
    <row r="28" spans="2:13" ht="15.75" customHeight="1">
      <c r="B28" s="15"/>
      <c r="C28" s="46"/>
      <c r="D28" s="47"/>
      <c r="E28" s="48"/>
      <c r="F28" s="49"/>
      <c r="G28" s="50"/>
      <c r="H28" s="51"/>
      <c r="I28" s="52"/>
      <c r="J28" s="48"/>
      <c r="K28" s="49"/>
      <c r="L28" s="50"/>
      <c r="M28" s="54"/>
    </row>
    <row r="29" spans="2:13" ht="15.75" customHeight="1">
      <c r="B29" s="15"/>
      <c r="C29" s="46"/>
      <c r="D29" s="16"/>
      <c r="E29" s="17"/>
      <c r="F29" s="18"/>
      <c r="G29" s="19"/>
      <c r="H29" s="21"/>
      <c r="I29" s="20"/>
      <c r="J29" s="17"/>
      <c r="K29" s="18"/>
      <c r="L29" s="19"/>
      <c r="M29" s="54"/>
    </row>
    <row r="30" spans="2:13" ht="15.75" customHeight="1">
      <c r="B30" s="15"/>
      <c r="C30" s="46"/>
      <c r="D30" s="16"/>
      <c r="E30" s="17"/>
      <c r="F30" s="36"/>
      <c r="G30" s="19"/>
      <c r="H30" s="21"/>
      <c r="I30" s="20"/>
      <c r="J30" s="17"/>
      <c r="K30" s="18"/>
      <c r="L30" s="19"/>
      <c r="M30" s="54"/>
    </row>
    <row r="31" spans="2:13" ht="15.75" customHeight="1">
      <c r="B31" s="79"/>
      <c r="C31" s="46"/>
      <c r="D31" s="16"/>
      <c r="E31" s="55"/>
      <c r="F31" s="18"/>
      <c r="G31" s="24"/>
      <c r="H31" s="21"/>
      <c r="I31" s="56"/>
      <c r="J31" s="17"/>
      <c r="K31" s="18"/>
      <c r="L31" s="19"/>
      <c r="M31" s="54"/>
    </row>
    <row r="32" spans="2:13" ht="15.75" customHeight="1">
      <c r="B32" s="15"/>
      <c r="C32" s="30"/>
      <c r="D32" s="16"/>
      <c r="E32" s="17"/>
      <c r="F32" s="18"/>
      <c r="G32" s="19"/>
      <c r="H32" s="21"/>
      <c r="I32" s="20"/>
      <c r="J32" s="17"/>
      <c r="K32" s="18"/>
      <c r="L32" s="19"/>
      <c r="M32" s="54"/>
    </row>
    <row r="33" spans="2:13" ht="15.75" customHeight="1">
      <c r="B33" s="38"/>
      <c r="C33" s="39"/>
      <c r="D33" s="40"/>
      <c r="E33" s="41"/>
      <c r="F33" s="42"/>
      <c r="G33" s="43"/>
      <c r="H33" s="44"/>
      <c r="I33" s="45"/>
      <c r="J33" s="41"/>
      <c r="K33" s="42"/>
      <c r="L33" s="43"/>
      <c r="M33" s="54"/>
    </row>
    <row r="34" spans="2:13">
      <c r="B34" s="80"/>
      <c r="C34" s="80"/>
      <c r="D34" s="81"/>
      <c r="E34" s="82"/>
      <c r="F34" s="78"/>
      <c r="G34" s="54"/>
      <c r="H34" s="83"/>
      <c r="I34" s="78"/>
      <c r="J34" s="82"/>
      <c r="K34" s="78"/>
      <c r="L34" s="54"/>
      <c r="M34" s="54"/>
    </row>
    <row r="35" spans="2:13">
      <c r="B35" s="80"/>
      <c r="C35" s="80"/>
      <c r="D35" s="81"/>
      <c r="E35" s="82"/>
      <c r="F35" s="78"/>
      <c r="G35" s="54"/>
      <c r="H35" s="83"/>
      <c r="I35" s="78"/>
      <c r="J35" s="82"/>
      <c r="K35" s="78"/>
      <c r="L35" s="54"/>
      <c r="M35" s="54"/>
    </row>
    <row r="36" spans="2:13">
      <c r="B36" s="80"/>
      <c r="C36" s="80"/>
      <c r="D36" s="81"/>
      <c r="E36" s="82"/>
      <c r="F36" s="78"/>
      <c r="G36" s="54"/>
      <c r="H36" s="83"/>
      <c r="I36" s="78"/>
      <c r="J36" s="82"/>
      <c r="K36" s="78"/>
      <c r="L36" s="54"/>
      <c r="M36" s="54"/>
    </row>
    <row r="37" spans="2:13">
      <c r="B37" s="80"/>
      <c r="C37" s="80"/>
      <c r="D37" s="81"/>
      <c r="E37" s="82"/>
      <c r="F37" s="78"/>
      <c r="G37" s="54"/>
      <c r="H37" s="83"/>
      <c r="I37" s="78"/>
      <c r="J37" s="82"/>
      <c r="K37" s="78"/>
      <c r="L37" s="54"/>
      <c r="M37" s="54"/>
    </row>
  </sheetData>
  <phoneticPr fontId="7"/>
  <printOptions horizontalCentered="1"/>
  <pageMargins left="0.70866141732283472" right="0.70866141732283472" top="0.74803149606299213" bottom="0.74803149606299213" header="0.31496062992125984" footer="0.31496062992125984"/>
  <pageSetup paperSize="9" scale="62" orientation="landscape" r:id="rId1"/>
  <headerFooter>
    <oddFooter>&amp;C&amp;P/&amp;N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5F46EF8C-11CC-4A4A-8C7A-0571F0C5630C}">
          <x14:formula1>
            <xm:f>リスト!$E$7:$E$9</xm:f>
          </x14:formula1>
          <xm:sqref>I4:I28 I30 I32:I37</xm:sqref>
        </x14:dataValidation>
        <x14:dataValidation type="list" allowBlank="1" showInputMessage="1" showErrorMessage="1" xr:uid="{C4C2DD0C-78C5-45AC-B666-C6936A1E6C9D}">
          <x14:formula1>
            <xm:f>'C:\Users\tatsuya.oosaki\Documents\IFAP\案件\Ph1_0905\設計書マージ\入出金\[ん＿画面定義書_SUB020302_0203-01_入出金明細.xlsx]リスト'!#REF!</xm:f>
          </x14:formula1>
          <xm:sqref>I29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48989-A612-4753-A9E7-34189965E8E3}">
  <sheetPr codeName="Sheet5">
    <pageSetUpPr fitToPage="1"/>
  </sheetPr>
  <dimension ref="A1:E17"/>
  <sheetViews>
    <sheetView zoomScaleNormal="100" workbookViewId="0"/>
  </sheetViews>
  <sheetFormatPr defaultColWidth="8.85546875" defaultRowHeight="15.75"/>
  <cols>
    <col min="1" max="1" width="4" style="27" customWidth="1"/>
    <col min="2" max="2" width="5.42578125" style="27" bestFit="1" customWidth="1"/>
    <col min="3" max="3" width="28.28515625" style="27" customWidth="1"/>
    <col min="4" max="4" width="6.42578125" style="27" bestFit="1" customWidth="1"/>
    <col min="5" max="5" width="40.42578125" style="27" bestFit="1" customWidth="1"/>
    <col min="6" max="16384" width="8.85546875" style="27"/>
  </cols>
  <sheetData>
    <row r="1" spans="1:5">
      <c r="A1" s="1" t="s">
        <v>23</v>
      </c>
    </row>
    <row r="3" spans="1:5">
      <c r="B3" s="28" t="s">
        <v>6</v>
      </c>
      <c r="C3" s="28" t="s">
        <v>24</v>
      </c>
      <c r="D3" s="28" t="s">
        <v>25</v>
      </c>
      <c r="E3" s="28" t="s">
        <v>26</v>
      </c>
    </row>
    <row r="4" spans="1:5">
      <c r="B4" s="126">
        <v>1</v>
      </c>
      <c r="C4" s="126" t="s">
        <v>27</v>
      </c>
      <c r="D4" s="127"/>
      <c r="E4" s="126"/>
    </row>
    <row r="5" spans="1:5">
      <c r="B5" s="126">
        <v>2</v>
      </c>
      <c r="C5" s="126" t="s">
        <v>28</v>
      </c>
      <c r="D5" s="127"/>
      <c r="E5" s="126"/>
    </row>
    <row r="6" spans="1:5">
      <c r="B6" s="126">
        <v>3</v>
      </c>
      <c r="C6" s="126" t="s">
        <v>29</v>
      </c>
      <c r="D6" s="127"/>
      <c r="E6" s="126"/>
    </row>
    <row r="7" spans="1:5">
      <c r="B7" s="126">
        <v>4</v>
      </c>
      <c r="C7" s="126" t="s">
        <v>30</v>
      </c>
      <c r="D7" s="127"/>
      <c r="E7" s="126"/>
    </row>
    <row r="8" spans="1:5">
      <c r="B8" s="126">
        <v>5</v>
      </c>
      <c r="C8" s="126" t="s">
        <v>31</v>
      </c>
      <c r="D8" s="128"/>
      <c r="E8" s="126"/>
    </row>
    <row r="9" spans="1:5">
      <c r="B9" s="126">
        <v>6</v>
      </c>
      <c r="C9" s="126" t="s">
        <v>32</v>
      </c>
      <c r="D9" s="127"/>
      <c r="E9" s="126"/>
    </row>
    <row r="10" spans="1:5">
      <c r="B10" s="126">
        <v>7</v>
      </c>
      <c r="C10" s="126" t="s">
        <v>33</v>
      </c>
      <c r="D10" s="127"/>
      <c r="E10" s="126"/>
    </row>
    <row r="11" spans="1:5">
      <c r="B11" s="126">
        <v>8</v>
      </c>
      <c r="C11" s="126" t="s">
        <v>34</v>
      </c>
      <c r="D11" s="127" t="s">
        <v>35</v>
      </c>
      <c r="E11" s="126"/>
    </row>
    <row r="12" spans="1:5">
      <c r="B12" s="126">
        <v>9</v>
      </c>
      <c r="C12" s="126" t="s">
        <v>36</v>
      </c>
      <c r="D12" s="127" t="s">
        <v>35</v>
      </c>
      <c r="E12" s="126"/>
    </row>
    <row r="13" spans="1:5">
      <c r="B13" s="126">
        <v>10</v>
      </c>
      <c r="C13" s="126" t="s">
        <v>37</v>
      </c>
      <c r="D13" s="127" t="s">
        <v>35</v>
      </c>
      <c r="E13" s="126"/>
    </row>
    <row r="14" spans="1:5">
      <c r="B14" s="126">
        <v>11</v>
      </c>
      <c r="C14" s="126" t="s">
        <v>38</v>
      </c>
      <c r="D14" s="127" t="s">
        <v>35</v>
      </c>
      <c r="E14" s="126"/>
    </row>
    <row r="15" spans="1:5">
      <c r="B15" s="126">
        <v>12</v>
      </c>
      <c r="C15" s="126" t="s">
        <v>39</v>
      </c>
      <c r="D15" s="127" t="s">
        <v>35</v>
      </c>
      <c r="E15" s="126"/>
    </row>
    <row r="16" spans="1:5">
      <c r="B16" s="126">
        <v>13</v>
      </c>
      <c r="C16" s="126" t="s">
        <v>40</v>
      </c>
      <c r="D16" s="127" t="s">
        <v>35</v>
      </c>
      <c r="E16" s="126"/>
    </row>
    <row r="17" spans="2:5">
      <c r="B17" s="126">
        <v>14</v>
      </c>
      <c r="C17" s="126" t="s">
        <v>41</v>
      </c>
      <c r="D17" s="127" t="s">
        <v>35</v>
      </c>
      <c r="E17" s="126"/>
    </row>
  </sheetData>
  <phoneticPr fontId="7"/>
  <pageMargins left="0.25" right="0.25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AE9FC-58B4-4C1C-A0F1-B4D2CE292BF5}">
  <sheetPr codeName="Sheet6">
    <pageSetUpPr fitToPage="1"/>
  </sheetPr>
  <dimension ref="A1:U21"/>
  <sheetViews>
    <sheetView showGridLines="0" view="pageBreakPreview" zoomScaleNormal="100" zoomScaleSheetLayoutView="100" workbookViewId="0"/>
  </sheetViews>
  <sheetFormatPr defaultColWidth="3" defaultRowHeight="15.75"/>
  <cols>
    <col min="1" max="4" width="3" style="130"/>
    <col min="5" max="5" width="16.42578125" style="130" customWidth="1"/>
    <col min="6" max="6" width="39.5703125" style="130" bestFit="1" customWidth="1"/>
    <col min="7" max="7" width="48.7109375" style="130" bestFit="1" customWidth="1"/>
    <col min="8" max="8" width="14" style="130" bestFit="1" customWidth="1"/>
    <col min="9" max="9" width="39" style="130" bestFit="1" customWidth="1"/>
    <col min="10" max="10" width="30" style="130" bestFit="1" customWidth="1"/>
    <col min="11" max="14" width="5.42578125" style="130" bestFit="1" customWidth="1"/>
    <col min="15" max="15" width="21" style="130" customWidth="1"/>
    <col min="16" max="16" width="3" style="130"/>
    <col min="17" max="17" width="9.42578125" style="136" bestFit="1" customWidth="1"/>
    <col min="18" max="18" width="14.5703125" style="136" bestFit="1" customWidth="1"/>
    <col min="19" max="20" width="14.5703125" style="136" customWidth="1"/>
    <col min="21" max="21" width="32.42578125" style="137" customWidth="1"/>
    <col min="22" max="16384" width="3" style="130"/>
  </cols>
  <sheetData>
    <row r="1" spans="1:21" s="129" customFormat="1" ht="15" customHeight="1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2" t="s">
        <v>42</v>
      </c>
      <c r="R1" s="12" t="s">
        <v>43</v>
      </c>
      <c r="S1" s="32" t="s">
        <v>44</v>
      </c>
      <c r="T1" s="31" t="s">
        <v>45</v>
      </c>
      <c r="U1" s="12" t="s">
        <v>46</v>
      </c>
    </row>
    <row r="2" spans="1:21" ht="28.5">
      <c r="A2" s="183"/>
      <c r="B2" s="131" t="s">
        <v>47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4"/>
      <c r="R2" s="184"/>
      <c r="S2" s="185"/>
      <c r="T2" s="185"/>
      <c r="U2" s="184"/>
    </row>
    <row r="3" spans="1:21">
      <c r="A3" s="183"/>
      <c r="B3" s="183"/>
      <c r="C3" s="186"/>
      <c r="D3" s="186"/>
      <c r="E3" s="152" t="s">
        <v>48</v>
      </c>
      <c r="F3" s="186"/>
      <c r="G3" s="186"/>
      <c r="H3" s="183"/>
      <c r="I3" s="183"/>
      <c r="J3" s="183"/>
      <c r="K3" s="183"/>
      <c r="L3" s="183"/>
      <c r="M3" s="183"/>
      <c r="N3" s="183"/>
      <c r="O3" s="183"/>
      <c r="P3" s="183"/>
      <c r="Q3" s="14"/>
      <c r="R3" s="14"/>
      <c r="S3" s="14"/>
      <c r="T3" s="14"/>
      <c r="U3" s="184"/>
    </row>
    <row r="4" spans="1:21">
      <c r="A4" s="183"/>
      <c r="B4" s="183"/>
      <c r="C4" s="186"/>
      <c r="D4" s="186"/>
      <c r="E4" s="132"/>
      <c r="F4" s="186"/>
      <c r="G4" s="186"/>
      <c r="H4" s="183"/>
      <c r="I4" s="183"/>
      <c r="J4" s="183"/>
      <c r="K4" s="183"/>
      <c r="L4" s="183"/>
      <c r="M4" s="183"/>
      <c r="N4" s="183"/>
      <c r="O4" s="183"/>
      <c r="P4" s="183"/>
      <c r="Q4" s="14"/>
      <c r="R4" s="14"/>
      <c r="S4" s="14"/>
      <c r="T4" s="14"/>
      <c r="U4" s="184"/>
    </row>
    <row r="5" spans="1:21">
      <c r="A5" s="183"/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4"/>
      <c r="R5" s="14"/>
      <c r="S5" s="14"/>
      <c r="T5" s="14"/>
      <c r="U5" s="184"/>
    </row>
    <row r="6" spans="1:21" s="133" customFormat="1" ht="12">
      <c r="A6" s="187"/>
      <c r="B6" s="187"/>
      <c r="C6" s="187"/>
      <c r="D6" s="187"/>
      <c r="E6" s="187"/>
      <c r="F6" s="187"/>
      <c r="G6" s="187"/>
      <c r="H6" s="187"/>
      <c r="I6" s="187"/>
      <c r="J6" s="187"/>
      <c r="K6" s="187"/>
      <c r="L6" s="187"/>
      <c r="M6" s="187"/>
      <c r="N6" s="187"/>
      <c r="O6" s="187"/>
      <c r="P6" s="187"/>
      <c r="Q6" s="14"/>
      <c r="R6" s="14"/>
      <c r="S6" s="14"/>
      <c r="T6" s="14"/>
      <c r="U6" s="188"/>
    </row>
    <row r="7" spans="1:21" s="133" customFormat="1" ht="12">
      <c r="A7" s="187"/>
      <c r="B7" s="187"/>
      <c r="C7" s="134" t="s">
        <v>49</v>
      </c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4"/>
      <c r="R7" s="14"/>
      <c r="S7" s="14"/>
      <c r="T7" s="14"/>
      <c r="U7" s="188"/>
    </row>
    <row r="8" spans="1:21" s="133" customFormat="1" ht="12">
      <c r="A8" s="187"/>
      <c r="B8" s="187"/>
      <c r="C8" s="187"/>
      <c r="D8" s="187"/>
      <c r="E8" s="189" t="s">
        <v>50</v>
      </c>
      <c r="F8" s="189" t="s">
        <v>51</v>
      </c>
      <c r="G8" s="189" t="s">
        <v>52</v>
      </c>
      <c r="H8" s="189" t="s">
        <v>53</v>
      </c>
      <c r="I8" s="190" t="s">
        <v>54</v>
      </c>
      <c r="J8" s="189" t="s">
        <v>55</v>
      </c>
      <c r="K8" s="189" t="s">
        <v>56</v>
      </c>
      <c r="L8" s="191"/>
      <c r="M8" s="191"/>
      <c r="N8" s="191"/>
      <c r="O8" s="192"/>
      <c r="P8" s="187"/>
      <c r="Q8" s="14"/>
      <c r="R8" s="14"/>
      <c r="S8" s="14"/>
      <c r="T8" s="14"/>
      <c r="U8" s="188"/>
    </row>
    <row r="9" spans="1:21" s="133" customFormat="1" ht="12">
      <c r="A9" s="187"/>
      <c r="B9" s="187"/>
      <c r="C9" s="187"/>
      <c r="D9" s="187"/>
      <c r="E9" s="193" t="s">
        <v>57</v>
      </c>
      <c r="F9" s="194" t="s">
        <v>58</v>
      </c>
      <c r="G9" s="194" t="s">
        <v>3</v>
      </c>
      <c r="H9" s="154" t="s">
        <v>59</v>
      </c>
      <c r="I9" s="194" t="s">
        <v>60</v>
      </c>
      <c r="J9" s="194" t="s">
        <v>61</v>
      </c>
      <c r="K9" s="154"/>
      <c r="L9" s="195"/>
      <c r="M9" s="195"/>
      <c r="N9" s="195"/>
      <c r="O9" s="196"/>
      <c r="P9" s="187"/>
      <c r="Q9" s="14"/>
      <c r="R9" s="14"/>
      <c r="S9" s="14"/>
      <c r="T9" s="14"/>
      <c r="U9" s="188"/>
    </row>
    <row r="10" spans="1:21" s="133" customFormat="1" ht="12">
      <c r="A10" s="187"/>
      <c r="B10" s="187"/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4"/>
      <c r="R10" s="14"/>
      <c r="S10" s="14"/>
      <c r="T10" s="14"/>
      <c r="U10" s="188"/>
    </row>
    <row r="11" spans="1:21" s="133" customFormat="1" ht="12">
      <c r="A11" s="187"/>
      <c r="B11" s="187"/>
      <c r="C11" s="135" t="s">
        <v>62</v>
      </c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4"/>
      <c r="R11" s="14"/>
      <c r="S11" s="14"/>
      <c r="T11" s="14"/>
      <c r="U11" s="14"/>
    </row>
    <row r="12" spans="1:21" s="133" customFormat="1" ht="12">
      <c r="A12" s="187"/>
      <c r="B12" s="187"/>
      <c r="C12" s="128"/>
      <c r="D12" s="128"/>
      <c r="E12" s="197" t="s">
        <v>63</v>
      </c>
      <c r="F12" s="197" t="s">
        <v>64</v>
      </c>
      <c r="G12" s="197" t="s">
        <v>65</v>
      </c>
      <c r="H12" s="198"/>
      <c r="I12" s="198"/>
      <c r="J12" s="198"/>
      <c r="K12" s="197" t="s">
        <v>66</v>
      </c>
      <c r="L12" s="197" t="s">
        <v>67</v>
      </c>
      <c r="M12" s="197" t="s">
        <v>56</v>
      </c>
      <c r="N12" s="198"/>
      <c r="O12" s="199"/>
      <c r="P12" s="128"/>
      <c r="Q12" s="14"/>
      <c r="R12" s="14"/>
      <c r="S12" s="14"/>
      <c r="T12" s="14"/>
      <c r="U12" s="14"/>
    </row>
    <row r="13" spans="1:21" s="133" customFormat="1" ht="12">
      <c r="A13" s="187"/>
      <c r="B13" s="187"/>
      <c r="C13" s="128"/>
      <c r="D13" s="128"/>
      <c r="E13" s="200" t="s">
        <v>68</v>
      </c>
      <c r="F13" s="201"/>
      <c r="G13" s="200"/>
      <c r="H13" s="202"/>
      <c r="I13" s="202"/>
      <c r="J13" s="203"/>
      <c r="K13" s="200" t="s">
        <v>69</v>
      </c>
      <c r="L13" s="204" t="s">
        <v>69</v>
      </c>
      <c r="M13" s="202"/>
      <c r="N13" s="202"/>
      <c r="O13" s="205"/>
      <c r="P13" s="128"/>
      <c r="Q13" s="14"/>
      <c r="R13" s="14"/>
      <c r="S13" s="14"/>
      <c r="T13" s="14"/>
      <c r="U13" s="14"/>
    </row>
    <row r="14" spans="1:21" s="133" customFormat="1" ht="12">
      <c r="A14" s="187"/>
      <c r="B14" s="187"/>
      <c r="C14" s="128"/>
      <c r="D14" s="128"/>
      <c r="E14" s="206"/>
      <c r="F14" s="207"/>
      <c r="G14" s="206"/>
      <c r="H14" s="206"/>
      <c r="I14" s="206"/>
      <c r="J14" s="207"/>
      <c r="K14" s="206"/>
      <c r="L14" s="206"/>
      <c r="M14" s="206"/>
      <c r="N14" s="206"/>
      <c r="O14" s="206"/>
      <c r="P14" s="128"/>
      <c r="Q14" s="14"/>
      <c r="R14" s="14"/>
      <c r="S14" s="14"/>
      <c r="T14" s="14"/>
      <c r="U14" s="14"/>
    </row>
    <row r="15" spans="1:21" s="133" customFormat="1" ht="12">
      <c r="A15" s="187"/>
      <c r="B15" s="187"/>
      <c r="C15" s="135" t="s">
        <v>70</v>
      </c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4"/>
      <c r="R15" s="14"/>
      <c r="S15" s="14"/>
      <c r="T15" s="14"/>
      <c r="U15" s="14"/>
    </row>
    <row r="16" spans="1:21" s="133" customFormat="1" ht="12">
      <c r="A16" s="187"/>
      <c r="B16" s="187"/>
      <c r="C16" s="128"/>
      <c r="D16" s="128"/>
      <c r="E16" s="197" t="s">
        <v>71</v>
      </c>
      <c r="F16" s="197" t="s">
        <v>72</v>
      </c>
      <c r="G16" s="197" t="s">
        <v>73</v>
      </c>
      <c r="H16" s="198"/>
      <c r="I16" s="198"/>
      <c r="J16" s="190" t="s">
        <v>74</v>
      </c>
      <c r="K16" s="197" t="s">
        <v>66</v>
      </c>
      <c r="L16" s="190" t="s">
        <v>67</v>
      </c>
      <c r="M16" s="197" t="s">
        <v>56</v>
      </c>
      <c r="N16" s="198"/>
      <c r="O16" s="199"/>
      <c r="P16" s="128"/>
      <c r="Q16" s="14"/>
      <c r="R16" s="14"/>
      <c r="S16" s="14"/>
      <c r="T16" s="14"/>
      <c r="U16" s="14"/>
    </row>
    <row r="17" spans="3:21" s="133" customFormat="1" ht="12">
      <c r="C17" s="128"/>
      <c r="D17" s="128"/>
      <c r="E17" s="200" t="s">
        <v>75</v>
      </c>
      <c r="F17" s="200"/>
      <c r="G17" s="200"/>
      <c r="H17" s="202"/>
      <c r="I17" s="202"/>
      <c r="J17" s="204"/>
      <c r="K17" s="200" t="s">
        <v>69</v>
      </c>
      <c r="L17" s="204" t="s">
        <v>69</v>
      </c>
      <c r="M17" s="202"/>
      <c r="N17" s="202"/>
      <c r="O17" s="205"/>
      <c r="P17" s="128"/>
      <c r="Q17" s="14"/>
      <c r="R17" s="14"/>
      <c r="S17" s="14"/>
      <c r="T17" s="14"/>
      <c r="U17" s="14"/>
    </row>
    <row r="18" spans="3:21" s="133" customFormat="1" ht="12">
      <c r="C18" s="128"/>
      <c r="D18" s="128"/>
      <c r="E18" s="206"/>
      <c r="F18" s="206"/>
      <c r="G18" s="206"/>
      <c r="H18" s="206"/>
      <c r="I18" s="206"/>
      <c r="J18" s="206"/>
      <c r="K18" s="206"/>
      <c r="L18" s="206"/>
      <c r="M18" s="206"/>
      <c r="N18" s="206"/>
      <c r="O18" s="206"/>
      <c r="P18" s="128"/>
      <c r="Q18" s="14"/>
      <c r="R18" s="14"/>
      <c r="S18" s="14"/>
      <c r="T18" s="14"/>
      <c r="U18" s="14"/>
    </row>
    <row r="19" spans="3:21" s="133" customFormat="1" ht="12">
      <c r="C19" s="134" t="s">
        <v>76</v>
      </c>
      <c r="D19" s="187"/>
      <c r="E19" s="187"/>
      <c r="F19" s="187"/>
      <c r="G19" s="187"/>
      <c r="H19" s="187"/>
      <c r="I19" s="187"/>
      <c r="J19" s="187"/>
      <c r="K19" s="187"/>
      <c r="L19" s="187"/>
      <c r="M19" s="187"/>
      <c r="N19" s="187"/>
      <c r="O19" s="187"/>
      <c r="P19" s="187"/>
      <c r="Q19" s="14"/>
      <c r="R19" s="14"/>
      <c r="S19" s="14"/>
      <c r="T19" s="14"/>
      <c r="U19" s="188"/>
    </row>
    <row r="20" spans="3:21" s="133" customFormat="1" ht="12">
      <c r="C20" s="187"/>
      <c r="D20" s="187"/>
      <c r="E20" s="189" t="s">
        <v>77</v>
      </c>
      <c r="F20" s="189" t="s">
        <v>78</v>
      </c>
      <c r="G20" s="189" t="s">
        <v>79</v>
      </c>
      <c r="H20" s="208" t="s">
        <v>80</v>
      </c>
      <c r="I20" s="189" t="s">
        <v>81</v>
      </c>
      <c r="J20" s="208" t="s">
        <v>82</v>
      </c>
      <c r="K20" s="189" t="s">
        <v>66</v>
      </c>
      <c r="L20" s="189" t="s">
        <v>83</v>
      </c>
      <c r="M20" s="189" t="s">
        <v>67</v>
      </c>
      <c r="N20" s="189" t="s">
        <v>84</v>
      </c>
      <c r="O20" s="208" t="s">
        <v>56</v>
      </c>
      <c r="P20" s="187"/>
      <c r="Q20" s="14"/>
      <c r="R20" s="14"/>
      <c r="S20" s="14"/>
      <c r="T20" s="14"/>
      <c r="U20" s="188"/>
    </row>
    <row r="21" spans="3:21" s="133" customFormat="1" ht="12">
      <c r="C21" s="209"/>
      <c r="D21" s="187"/>
      <c r="E21" s="154" t="s">
        <v>75</v>
      </c>
      <c r="F21" s="201"/>
      <c r="G21" s="210"/>
      <c r="H21" s="210"/>
      <c r="I21" s="203"/>
      <c r="J21" s="210"/>
      <c r="K21" s="155" t="s">
        <v>69</v>
      </c>
      <c r="L21" s="154" t="s">
        <v>69</v>
      </c>
      <c r="M21" s="154" t="s">
        <v>69</v>
      </c>
      <c r="N21" s="154" t="s">
        <v>69</v>
      </c>
      <c r="O21" s="210"/>
      <c r="P21" s="187"/>
      <c r="Q21" s="14"/>
      <c r="R21" s="14"/>
      <c r="S21" s="14"/>
      <c r="T21" s="14"/>
      <c r="U21" s="188"/>
    </row>
  </sheetData>
  <phoneticPr fontId="7"/>
  <pageMargins left="0.7" right="0.7" top="0.75" bottom="0.75" header="0.3" footer="0.3"/>
  <pageSetup paperSize="9" scale="53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484ADBD-E88F-4869-9CCA-D9F92C61B694}">
          <x14:formula1>
            <xm:f>リスト!$B$13:$B$14</xm:f>
          </x14:formula1>
          <xm:sqref>K13:L13 K17:L17 K21:N21</xm:sqref>
        </x14:dataValidation>
        <x14:dataValidation type="list" allowBlank="1" showInputMessage="1" showErrorMessage="1" xr:uid="{F69D98B9-1AF3-4AD2-A562-88DCC451F142}">
          <x14:formula1>
            <xm:f>リスト!$B$7:$B$9</xm:f>
          </x14:formula1>
          <xm:sqref>H9</xm:sqref>
        </x14:dataValidation>
        <x14:dataValidation type="list" allowBlank="1" showInputMessage="1" showErrorMessage="1" xr:uid="{B7644B29-AA28-48F8-8524-8A90AC9F01B8}">
          <x14:formula1>
            <xm:f>リスト!$M$77:$M$81</xm:f>
          </x14:formula1>
          <xm:sqref>J9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pageSetUpPr fitToPage="1"/>
  </sheetPr>
  <dimension ref="A1:DR27"/>
  <sheetViews>
    <sheetView showGridLines="0" view="pageBreakPreview" zoomScaleNormal="100" zoomScaleSheetLayoutView="100" workbookViewId="0"/>
  </sheetViews>
  <sheetFormatPr defaultColWidth="2.7109375" defaultRowHeight="12" customHeight="1"/>
  <cols>
    <col min="1" max="2" width="2.7109375" style="60"/>
    <col min="3" max="3" width="2.28515625" style="60" customWidth="1"/>
    <col min="4" max="23" width="2.7109375" style="60"/>
    <col min="24" max="24" width="3.42578125" style="60" customWidth="1"/>
    <col min="25" max="25" width="2.42578125" style="60" customWidth="1"/>
    <col min="26" max="26" width="3.140625" style="60" customWidth="1"/>
    <col min="27" max="81" width="2.7109375" style="60"/>
    <col min="82" max="82" width="9.42578125" style="11" bestFit="1" customWidth="1"/>
    <col min="83" max="83" width="13.85546875" style="60" bestFit="1" customWidth="1"/>
    <col min="84" max="85" width="13.85546875" style="60" customWidth="1"/>
    <col min="86" max="86" width="15.42578125" style="60" bestFit="1" customWidth="1"/>
    <col min="87" max="91" width="2.7109375" style="60"/>
    <col min="92" max="92" width="2.85546875" style="60" customWidth="1"/>
    <col min="93" max="16384" width="2.7109375" style="60"/>
  </cols>
  <sheetData>
    <row r="1" spans="1:122" s="13" customFormat="1" ht="15.75">
      <c r="A1" s="60"/>
      <c r="B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12" t="s">
        <v>42</v>
      </c>
      <c r="CE1" s="12" t="s">
        <v>43</v>
      </c>
      <c r="CF1" s="32" t="s">
        <v>44</v>
      </c>
      <c r="CG1" s="31" t="s">
        <v>45</v>
      </c>
      <c r="CH1" s="31" t="s">
        <v>46</v>
      </c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7"/>
      <c r="DF1" s="7"/>
      <c r="DG1" s="7"/>
      <c r="DH1" s="60"/>
      <c r="DI1" s="60"/>
      <c r="DJ1" s="60"/>
      <c r="DK1" s="60"/>
      <c r="DL1" s="7"/>
      <c r="DM1" s="7"/>
      <c r="DN1" s="7"/>
      <c r="DO1" s="7"/>
      <c r="DP1" s="7"/>
      <c r="DQ1" s="7"/>
      <c r="DR1" s="7"/>
    </row>
    <row r="2" spans="1:122">
      <c r="CD2" s="14"/>
      <c r="CE2" s="61"/>
      <c r="CF2" s="61"/>
      <c r="CG2" s="61"/>
      <c r="CH2" s="61"/>
    </row>
    <row r="3" spans="1:122" ht="12" customHeight="1">
      <c r="B3" s="60" t="s">
        <v>85</v>
      </c>
      <c r="CD3" s="14"/>
      <c r="CE3" s="61"/>
      <c r="CF3" s="61"/>
      <c r="CG3" s="61"/>
      <c r="CH3" s="61"/>
    </row>
    <row r="4" spans="1:122" ht="12" customHeight="1">
      <c r="CD4" s="14"/>
      <c r="CE4" s="61"/>
      <c r="CF4" s="61"/>
      <c r="CG4" s="61"/>
      <c r="CH4" s="61"/>
    </row>
    <row r="5" spans="1:122" ht="12" customHeight="1">
      <c r="CD5" s="14"/>
      <c r="CE5" s="61"/>
      <c r="CF5" s="61"/>
      <c r="CG5" s="61"/>
      <c r="CH5" s="61"/>
    </row>
    <row r="6" spans="1:122" ht="12" customHeight="1">
      <c r="CD6" s="14"/>
      <c r="CE6" s="61"/>
      <c r="CF6" s="61"/>
      <c r="CG6" s="61"/>
      <c r="CH6" s="61"/>
    </row>
    <row r="7" spans="1:122" ht="12" customHeight="1">
      <c r="CD7" s="14"/>
      <c r="CE7" s="61"/>
      <c r="CF7" s="61"/>
      <c r="CG7" s="61"/>
      <c r="CH7" s="61"/>
    </row>
    <row r="8" spans="1:122" ht="12" customHeight="1">
      <c r="CD8" s="14"/>
      <c r="CE8" s="61"/>
      <c r="CF8" s="61"/>
      <c r="CG8" s="61"/>
      <c r="CH8" s="61"/>
    </row>
    <row r="9" spans="1:122" ht="12" customHeight="1">
      <c r="CD9" s="14"/>
      <c r="CE9" s="61"/>
      <c r="CF9" s="61"/>
      <c r="CG9" s="61"/>
      <c r="CH9" s="61"/>
    </row>
    <row r="10" spans="1:122" ht="12" customHeight="1">
      <c r="CD10" s="14"/>
      <c r="CE10" s="61"/>
      <c r="CF10" s="61"/>
      <c r="CG10" s="61"/>
      <c r="CH10" s="61"/>
    </row>
    <row r="11" spans="1:122" ht="12" customHeight="1">
      <c r="CD11" s="14"/>
      <c r="CE11" s="61"/>
      <c r="CF11" s="61"/>
      <c r="CG11" s="61"/>
      <c r="CH11" s="61"/>
    </row>
    <row r="12" spans="1:122" ht="12" customHeight="1">
      <c r="CD12" s="14"/>
      <c r="CE12" s="61"/>
      <c r="CF12" s="61"/>
      <c r="CG12" s="61"/>
      <c r="CH12" s="61"/>
    </row>
    <row r="13" spans="1:122" ht="12" customHeight="1">
      <c r="CD13" s="14"/>
      <c r="CE13" s="61"/>
      <c r="CF13" s="61"/>
      <c r="CG13" s="61"/>
      <c r="CH13" s="61"/>
    </row>
    <row r="14" spans="1:122" ht="12" customHeight="1">
      <c r="CD14" s="14"/>
      <c r="CE14" s="61"/>
      <c r="CF14" s="61"/>
      <c r="CG14" s="61"/>
      <c r="CH14" s="61"/>
    </row>
    <row r="15" spans="1:122" ht="12" customHeight="1">
      <c r="CD15" s="14"/>
      <c r="CE15" s="61"/>
      <c r="CF15" s="61"/>
      <c r="CG15" s="61"/>
      <c r="CH15" s="61"/>
    </row>
    <row r="16" spans="1:122" ht="12" customHeight="1">
      <c r="CD16" s="14"/>
      <c r="CE16" s="61"/>
      <c r="CF16" s="61"/>
      <c r="CG16" s="61"/>
      <c r="CH16" s="61"/>
    </row>
    <row r="17" spans="82:86" ht="12" customHeight="1">
      <c r="CD17" s="14"/>
      <c r="CE17" s="61"/>
      <c r="CF17" s="61"/>
      <c r="CG17" s="61"/>
      <c r="CH17" s="61"/>
    </row>
    <row r="18" spans="82:86" ht="12" customHeight="1">
      <c r="CD18" s="14"/>
      <c r="CE18" s="61"/>
      <c r="CF18" s="61"/>
      <c r="CG18" s="61"/>
      <c r="CH18" s="61"/>
    </row>
    <row r="19" spans="82:86" ht="12" customHeight="1">
      <c r="CD19" s="14"/>
      <c r="CE19" s="61"/>
      <c r="CF19" s="61"/>
      <c r="CG19" s="61"/>
      <c r="CH19" s="61"/>
    </row>
    <row r="20" spans="82:86" ht="12" customHeight="1">
      <c r="CD20" s="14"/>
      <c r="CE20" s="61"/>
      <c r="CF20" s="61"/>
      <c r="CG20" s="61"/>
      <c r="CH20" s="61"/>
    </row>
    <row r="21" spans="82:86">
      <c r="CD21" s="14"/>
      <c r="CE21" s="61"/>
      <c r="CF21" s="61"/>
      <c r="CG21" s="61"/>
      <c r="CH21" s="61"/>
    </row>
    <row r="22" spans="82:86">
      <c r="CD22" s="14"/>
      <c r="CE22" s="61"/>
      <c r="CF22" s="61"/>
      <c r="CG22" s="61"/>
      <c r="CH22" s="61"/>
    </row>
    <row r="23" spans="82:86">
      <c r="CD23" s="14"/>
      <c r="CE23" s="61"/>
      <c r="CF23" s="61"/>
      <c r="CG23" s="61"/>
      <c r="CH23" s="61"/>
    </row>
    <row r="24" spans="82:86">
      <c r="CD24" s="14"/>
      <c r="CE24" s="61"/>
      <c r="CF24" s="61"/>
      <c r="CG24" s="61"/>
      <c r="CH24" s="61"/>
    </row>
    <row r="25" spans="82:86">
      <c r="CD25" s="14"/>
      <c r="CE25" s="61"/>
      <c r="CF25" s="61"/>
      <c r="CG25" s="61"/>
      <c r="CH25" s="61"/>
    </row>
    <row r="26" spans="82:86">
      <c r="CD26" s="14"/>
      <c r="CE26" s="61"/>
      <c r="CF26" s="61"/>
      <c r="CG26" s="61"/>
      <c r="CH26" s="61"/>
    </row>
    <row r="27" spans="82:86">
      <c r="CD27" s="14"/>
      <c r="CE27" s="61"/>
      <c r="CF27" s="61"/>
      <c r="CG27" s="61"/>
      <c r="CH27" s="61"/>
    </row>
  </sheetData>
  <phoneticPr fontId="7"/>
  <pageMargins left="0.23622047244094491" right="0.23622047244094491" top="0.35433070866141736" bottom="0.35433070866141736" header="0.11811023622047245" footer="0.11811023622047245"/>
  <pageSetup paperSize="9" scale="64" fitToHeight="0" orientation="landscape" r:id="rId1"/>
  <headerFooter alignWithMargins="0">
    <oddFooter>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AFFAF-6F61-4B29-9468-BCFDD157CD16}">
  <sheetPr codeName="Sheet9">
    <pageSetUpPr fitToPage="1"/>
  </sheetPr>
  <dimension ref="A1:AF10"/>
  <sheetViews>
    <sheetView showGridLines="0" view="pageBreakPreview" zoomScaleNormal="100" zoomScaleSheetLayoutView="100" workbookViewId="0">
      <pane xSplit="5" ySplit="3" topLeftCell="F4" activePane="bottomRight" state="frozen"/>
      <selection pane="bottomRight" activeCell="F4" sqref="F4"/>
      <selection pane="bottomLeft"/>
      <selection pane="topRight"/>
    </sheetView>
  </sheetViews>
  <sheetFormatPr defaultColWidth="2.7109375" defaultRowHeight="12"/>
  <cols>
    <col min="1" max="1" width="2.7109375" style="87"/>
    <col min="2" max="2" width="3.7109375" style="87" customWidth="1"/>
    <col min="3" max="3" width="2.42578125" style="87" customWidth="1"/>
    <col min="4" max="4" width="20.140625" style="29" bestFit="1" customWidth="1"/>
    <col min="5" max="5" width="23.42578125" style="87" bestFit="1" customWidth="1"/>
    <col min="6" max="6" width="9.28515625" style="87" bestFit="1" customWidth="1"/>
    <col min="7" max="7" width="16.85546875" style="87" customWidth="1"/>
    <col min="8" max="8" width="13" style="87" customWidth="1"/>
    <col min="9" max="9" width="11.140625" style="29" customWidth="1"/>
    <col min="10" max="10" width="34.42578125" style="29" customWidth="1"/>
    <col min="11" max="11" width="37.42578125" style="29" customWidth="1"/>
    <col min="12" max="13" width="5.140625" style="87" bestFit="1" customWidth="1"/>
    <col min="14" max="14" width="4.42578125" style="87" bestFit="1" customWidth="1"/>
    <col min="15" max="15" width="15.42578125" style="29" customWidth="1"/>
    <col min="16" max="16" width="6.7109375" style="87" bestFit="1" customWidth="1"/>
    <col min="17" max="17" width="6.7109375" style="87" customWidth="1"/>
    <col min="18" max="18" width="10.85546875" style="87" bestFit="1" customWidth="1"/>
    <col min="19" max="19" width="21.140625" style="87" bestFit="1" customWidth="1"/>
    <col min="20" max="21" width="5.140625" style="87" bestFit="1" customWidth="1"/>
    <col min="22" max="22" width="20.42578125" style="29" bestFit="1" customWidth="1"/>
    <col min="23" max="23" width="16.140625" style="87" customWidth="1"/>
    <col min="24" max="24" width="28.140625" style="29" customWidth="1"/>
    <col min="25" max="25" width="2.7109375" style="87"/>
    <col min="26" max="26" width="9.42578125" style="120" bestFit="1" customWidth="1"/>
    <col min="27" max="27" width="13.85546875" style="121" bestFit="1" customWidth="1"/>
    <col min="28" max="29" width="13.85546875" style="121" customWidth="1"/>
    <col min="30" max="30" width="15.42578125" style="121" bestFit="1" customWidth="1"/>
    <col min="31" max="32" width="16.85546875" style="87" bestFit="1" customWidth="1"/>
    <col min="33" max="16384" width="2.7109375" style="87"/>
  </cols>
  <sheetData>
    <row r="1" spans="1:32" ht="15.75">
      <c r="A1" s="85"/>
      <c r="B1" s="85"/>
      <c r="C1" s="85"/>
      <c r="D1" s="86"/>
      <c r="Z1" s="88" t="s">
        <v>42</v>
      </c>
      <c r="AA1" s="88" t="s">
        <v>43</v>
      </c>
      <c r="AB1" s="89" t="s">
        <v>44</v>
      </c>
      <c r="AC1" s="88" t="s">
        <v>45</v>
      </c>
      <c r="AD1" s="88" t="s">
        <v>46</v>
      </c>
      <c r="AE1" s="88" t="s">
        <v>86</v>
      </c>
      <c r="AF1" s="88" t="s">
        <v>87</v>
      </c>
    </row>
    <row r="2" spans="1:32" ht="15.75" customHeight="1">
      <c r="B2" s="211" t="s">
        <v>88</v>
      </c>
      <c r="C2" s="90"/>
      <c r="D2" s="172" t="s">
        <v>89</v>
      </c>
      <c r="E2" s="166" t="s">
        <v>90</v>
      </c>
      <c r="F2" s="167" t="s">
        <v>91</v>
      </c>
      <c r="G2" s="170" t="s">
        <v>92</v>
      </c>
      <c r="H2" s="168" t="s">
        <v>93</v>
      </c>
      <c r="I2" s="167" t="s">
        <v>94</v>
      </c>
      <c r="J2" s="167"/>
      <c r="K2" s="169" t="s">
        <v>95</v>
      </c>
      <c r="L2" s="167" t="s">
        <v>96</v>
      </c>
      <c r="M2" s="167"/>
      <c r="N2" s="167" t="s">
        <v>97</v>
      </c>
      <c r="O2" s="165" t="s">
        <v>98</v>
      </c>
      <c r="P2" s="165" t="s">
        <v>99</v>
      </c>
      <c r="Q2" s="165" t="s">
        <v>100</v>
      </c>
      <c r="R2" s="167" t="s">
        <v>101</v>
      </c>
      <c r="S2" s="167"/>
      <c r="T2" s="167"/>
      <c r="U2" s="167" t="s">
        <v>102</v>
      </c>
      <c r="V2" s="165" t="s">
        <v>103</v>
      </c>
      <c r="W2" s="174" t="s">
        <v>104</v>
      </c>
      <c r="X2" s="176" t="s">
        <v>105</v>
      </c>
      <c r="Z2" s="91"/>
      <c r="AA2" s="92"/>
      <c r="AB2" s="92"/>
      <c r="AC2" s="92"/>
      <c r="AD2" s="92"/>
      <c r="AE2" s="93"/>
      <c r="AF2" s="93"/>
    </row>
    <row r="3" spans="1:32">
      <c r="B3" s="211"/>
      <c r="C3" s="94"/>
      <c r="D3" s="173"/>
      <c r="E3" s="166"/>
      <c r="F3" s="167"/>
      <c r="G3" s="171"/>
      <c r="H3" s="168"/>
      <c r="I3" s="95" t="s">
        <v>106</v>
      </c>
      <c r="J3" s="95" t="s">
        <v>107</v>
      </c>
      <c r="K3" s="169"/>
      <c r="L3" s="96" t="s">
        <v>108</v>
      </c>
      <c r="M3" s="96" t="s">
        <v>109</v>
      </c>
      <c r="N3" s="167"/>
      <c r="O3" s="165"/>
      <c r="P3" s="165"/>
      <c r="Q3" s="165"/>
      <c r="R3" s="96" t="s">
        <v>110</v>
      </c>
      <c r="S3" s="96" t="s">
        <v>111</v>
      </c>
      <c r="T3" s="96" t="s">
        <v>112</v>
      </c>
      <c r="U3" s="167"/>
      <c r="V3" s="165"/>
      <c r="W3" s="175"/>
      <c r="X3" s="177"/>
      <c r="Z3" s="97"/>
      <c r="AA3" s="92"/>
      <c r="AB3" s="92"/>
      <c r="AC3" s="92"/>
      <c r="AD3" s="92"/>
      <c r="AE3" s="93"/>
      <c r="AF3" s="93"/>
    </row>
    <row r="4" spans="1:32">
      <c r="B4" s="98">
        <f t="shared" ref="B4:B9" si="0">ROW()-3</f>
        <v>1</v>
      </c>
      <c r="C4" s="99" t="s">
        <v>113</v>
      </c>
      <c r="D4" s="100"/>
      <c r="E4" s="101"/>
      <c r="F4" s="102"/>
      <c r="G4" s="103"/>
      <c r="H4" s="103"/>
      <c r="I4" s="104"/>
      <c r="J4" s="105"/>
      <c r="K4" s="106"/>
      <c r="L4" s="103"/>
      <c r="M4" s="103"/>
      <c r="N4" s="103"/>
      <c r="O4" s="107"/>
      <c r="P4" s="108"/>
      <c r="Q4" s="108"/>
      <c r="R4" s="108"/>
      <c r="S4" s="108"/>
      <c r="T4" s="108"/>
      <c r="U4" s="108"/>
      <c r="V4" s="104"/>
      <c r="W4" s="109"/>
      <c r="X4" s="105"/>
      <c r="Y4" s="110"/>
      <c r="Z4" s="97"/>
      <c r="AA4" s="92"/>
      <c r="AB4" s="92"/>
      <c r="AC4" s="92"/>
      <c r="AD4" s="92"/>
      <c r="AE4" s="93"/>
      <c r="AF4" s="93"/>
    </row>
    <row r="5" spans="1:32" ht="24">
      <c r="B5" s="98">
        <f t="shared" si="0"/>
        <v>2</v>
      </c>
      <c r="C5" s="111"/>
      <c r="D5" s="112" t="s">
        <v>114</v>
      </c>
      <c r="E5" s="113" t="s">
        <v>115</v>
      </c>
      <c r="F5" s="123" t="s">
        <v>69</v>
      </c>
      <c r="G5" s="84" t="s">
        <v>69</v>
      </c>
      <c r="H5" s="84" t="s">
        <v>116</v>
      </c>
      <c r="I5" s="114" t="s">
        <v>69</v>
      </c>
      <c r="J5" s="112" t="s">
        <v>69</v>
      </c>
      <c r="K5" s="113" t="s">
        <v>69</v>
      </c>
      <c r="L5" s="93" t="s">
        <v>117</v>
      </c>
      <c r="M5" s="93" t="s">
        <v>117</v>
      </c>
      <c r="N5" s="84" t="s">
        <v>118</v>
      </c>
      <c r="O5" s="115" t="s">
        <v>119</v>
      </c>
      <c r="P5" s="93"/>
      <c r="Q5" s="93"/>
      <c r="R5" s="93"/>
      <c r="S5" s="93"/>
      <c r="T5" s="93"/>
      <c r="U5" s="116"/>
      <c r="V5" s="114"/>
      <c r="W5" s="114"/>
      <c r="X5" s="112"/>
      <c r="Y5" s="110"/>
      <c r="Z5" s="97"/>
      <c r="AA5" s="92"/>
      <c r="AB5" s="92"/>
      <c r="AC5" s="92"/>
      <c r="AD5" s="92"/>
      <c r="AE5" s="93"/>
      <c r="AF5" s="93"/>
    </row>
    <row r="6" spans="1:32">
      <c r="B6" s="98">
        <f t="shared" si="0"/>
        <v>3</v>
      </c>
      <c r="C6" s="99" t="s">
        <v>120</v>
      </c>
      <c r="D6" s="100"/>
      <c r="E6" s="101"/>
      <c r="F6" s="102"/>
      <c r="G6" s="103"/>
      <c r="H6" s="103"/>
      <c r="I6" s="104"/>
      <c r="J6" s="105"/>
      <c r="K6" s="106"/>
      <c r="L6" s="103"/>
      <c r="M6" s="103"/>
      <c r="N6" s="103"/>
      <c r="O6" s="107"/>
      <c r="P6" s="108"/>
      <c r="Q6" s="108"/>
      <c r="R6" s="108"/>
      <c r="S6" s="108"/>
      <c r="T6" s="108"/>
      <c r="U6" s="108"/>
      <c r="V6" s="104"/>
      <c r="W6" s="109"/>
      <c r="X6" s="105"/>
      <c r="Y6" s="110"/>
      <c r="Z6" s="97"/>
      <c r="AA6" s="92"/>
      <c r="AB6" s="92"/>
      <c r="AC6" s="92"/>
      <c r="AD6" s="92"/>
      <c r="AE6" s="93"/>
      <c r="AF6" s="93"/>
    </row>
    <row r="7" spans="1:32">
      <c r="B7" s="98">
        <f t="shared" si="0"/>
        <v>4</v>
      </c>
      <c r="C7" s="111"/>
      <c r="D7" s="112" t="s">
        <v>121</v>
      </c>
      <c r="E7" s="117" t="s">
        <v>121</v>
      </c>
      <c r="F7" s="123" t="s">
        <v>69</v>
      </c>
      <c r="G7" s="84" t="s">
        <v>69</v>
      </c>
      <c r="H7" s="84" t="s">
        <v>122</v>
      </c>
      <c r="I7" s="122" t="s">
        <v>69</v>
      </c>
      <c r="J7" s="112" t="s">
        <v>69</v>
      </c>
      <c r="K7" s="118" t="s">
        <v>69</v>
      </c>
      <c r="L7" s="93" t="s">
        <v>117</v>
      </c>
      <c r="M7" s="93" t="s">
        <v>123</v>
      </c>
      <c r="N7" s="84" t="s">
        <v>124</v>
      </c>
      <c r="O7" s="115" t="s">
        <v>119</v>
      </c>
      <c r="P7" s="93" t="s">
        <v>69</v>
      </c>
      <c r="Q7" s="124" t="s">
        <v>69</v>
      </c>
      <c r="R7" s="124" t="s">
        <v>69</v>
      </c>
      <c r="S7" s="124" t="s">
        <v>69</v>
      </c>
      <c r="T7" s="93" t="s">
        <v>69</v>
      </c>
      <c r="U7" s="116" t="s">
        <v>125</v>
      </c>
      <c r="V7" s="114"/>
      <c r="W7" s="122" t="s">
        <v>126</v>
      </c>
      <c r="X7" s="112"/>
      <c r="Y7" s="110"/>
      <c r="Z7" s="97"/>
      <c r="AA7" s="92"/>
      <c r="AB7" s="92"/>
      <c r="AC7" s="92"/>
      <c r="AD7" s="92"/>
      <c r="AE7" s="93"/>
      <c r="AF7" s="93"/>
    </row>
    <row r="8" spans="1:32">
      <c r="B8" s="98">
        <f t="shared" si="0"/>
        <v>5</v>
      </c>
      <c r="C8" s="99" t="s">
        <v>127</v>
      </c>
      <c r="D8" s="100"/>
      <c r="E8" s="101"/>
      <c r="F8" s="102"/>
      <c r="G8" s="103"/>
      <c r="H8" s="103"/>
      <c r="I8" s="104"/>
      <c r="J8" s="105"/>
      <c r="K8" s="106" t="s">
        <v>128</v>
      </c>
      <c r="L8" s="103"/>
      <c r="M8" s="103"/>
      <c r="N8" s="103"/>
      <c r="O8" s="107"/>
      <c r="P8" s="108"/>
      <c r="Q8" s="108"/>
      <c r="R8" s="108"/>
      <c r="S8" s="108"/>
      <c r="T8" s="108"/>
      <c r="U8" s="108"/>
      <c r="V8" s="104"/>
      <c r="W8" s="109"/>
      <c r="X8" s="105"/>
      <c r="Y8" s="110"/>
      <c r="Z8" s="97"/>
      <c r="AA8" s="92"/>
      <c r="AB8" s="92"/>
      <c r="AC8" s="92"/>
      <c r="AD8" s="92"/>
      <c r="AE8" s="93"/>
      <c r="AF8" s="93"/>
    </row>
    <row r="9" spans="1:32">
      <c r="B9" s="98">
        <f t="shared" si="0"/>
        <v>6</v>
      </c>
      <c r="C9" s="111"/>
      <c r="D9" s="119" t="s">
        <v>129</v>
      </c>
      <c r="E9" s="117" t="s">
        <v>129</v>
      </c>
      <c r="F9" s="84" t="s">
        <v>69</v>
      </c>
      <c r="G9" s="123" t="s">
        <v>69</v>
      </c>
      <c r="H9" s="84" t="s">
        <v>130</v>
      </c>
      <c r="I9" s="122" t="s">
        <v>131</v>
      </c>
      <c r="J9" s="112" t="s">
        <v>132</v>
      </c>
      <c r="K9" s="118" t="s">
        <v>69</v>
      </c>
      <c r="L9" s="93" t="s">
        <v>117</v>
      </c>
      <c r="M9" s="93" t="s">
        <v>133</v>
      </c>
      <c r="N9" s="84" t="s">
        <v>118</v>
      </c>
      <c r="O9" s="153" t="s">
        <v>134</v>
      </c>
      <c r="P9" s="93" t="s">
        <v>69</v>
      </c>
      <c r="Q9" s="93" t="s">
        <v>69</v>
      </c>
      <c r="R9" s="93" t="s">
        <v>69</v>
      </c>
      <c r="S9" s="93" t="s">
        <v>69</v>
      </c>
      <c r="T9" s="93" t="s">
        <v>69</v>
      </c>
      <c r="U9" s="116" t="s">
        <v>135</v>
      </c>
      <c r="V9" s="114" t="s">
        <v>69</v>
      </c>
      <c r="W9" s="114" t="s">
        <v>69</v>
      </c>
      <c r="X9" s="112" t="s">
        <v>136</v>
      </c>
      <c r="Y9" s="110"/>
      <c r="Z9" s="97"/>
      <c r="AA9" s="92"/>
      <c r="AB9" s="92"/>
      <c r="AC9" s="92"/>
      <c r="AD9" s="92"/>
      <c r="AE9" s="93"/>
      <c r="AF9" s="93"/>
    </row>
    <row r="10" spans="1:32">
      <c r="C10" s="85"/>
    </row>
  </sheetData>
  <mergeCells count="18">
    <mergeCell ref="R2:T2"/>
    <mergeCell ref="U2:U3"/>
    <mergeCell ref="V2:V3"/>
    <mergeCell ref="W2:W3"/>
    <mergeCell ref="X2:X3"/>
    <mergeCell ref="Q2:Q3"/>
    <mergeCell ref="B2:B3"/>
    <mergeCell ref="E2:E3"/>
    <mergeCell ref="F2:F3"/>
    <mergeCell ref="H2:H3"/>
    <mergeCell ref="I2:J2"/>
    <mergeCell ref="K2:K3"/>
    <mergeCell ref="L2:M2"/>
    <mergeCell ref="N2:N3"/>
    <mergeCell ref="O2:O3"/>
    <mergeCell ref="P2:P3"/>
    <mergeCell ref="G2:G3"/>
    <mergeCell ref="D2:D3"/>
  </mergeCells>
  <phoneticPr fontId="7"/>
  <dataValidations count="2">
    <dataValidation type="list" allowBlank="1" showInputMessage="1" sqref="IF65401:IF65470 SB65401:SB65470 ABX65401:ABX65470 ALT65401:ALT65470 AVP65401:AVP65470 BFL65401:BFL65470 BPH65401:BPH65470 BZD65401:BZD65470 CIZ65401:CIZ65470 CSV65401:CSV65470 DCR65401:DCR65470 DMN65401:DMN65470 DWJ65401:DWJ65470 EGF65401:EGF65470 EQB65401:EQB65470 EZX65401:EZX65470 FJT65401:FJT65470 FTP65401:FTP65470 GDL65401:GDL65470 GNH65401:GNH65470 GXD65401:GXD65470 HGZ65401:HGZ65470 HQV65401:HQV65470 IAR65401:IAR65470 IKN65401:IKN65470 IUJ65401:IUJ65470 JEF65401:JEF65470 JOB65401:JOB65470 JXX65401:JXX65470 KHT65401:KHT65470 KRP65401:KRP65470 LBL65401:LBL65470 LLH65401:LLH65470 LVD65401:LVD65470 MEZ65401:MEZ65470 MOV65401:MOV65470 MYR65401:MYR65470 NIN65401:NIN65470 NSJ65401:NSJ65470 OCF65401:OCF65470 OMB65401:OMB65470 OVX65401:OVX65470 PFT65401:PFT65470 PPP65401:PPP65470 PZL65401:PZL65470 QJH65401:QJH65470 QTD65401:QTD65470 RCZ65401:RCZ65470 RMV65401:RMV65470 RWR65401:RWR65470 SGN65401:SGN65470 SQJ65401:SQJ65470 TAF65401:TAF65470 TKB65401:TKB65470 TTX65401:TTX65470 UDT65401:UDT65470 UNP65401:UNP65470 UXL65401:UXL65470 VHH65401:VHH65470 VRD65401:VRD65470 WAZ65401:WAZ65470 WKV65401:WKV65470 WUR65401:WUR65470 IF130937:IF131006 SB130937:SB131006 ABX130937:ABX131006 ALT130937:ALT131006 AVP130937:AVP131006 BFL130937:BFL131006 BPH130937:BPH131006 BZD130937:BZD131006 CIZ130937:CIZ131006 CSV130937:CSV131006 DCR130937:DCR131006 DMN130937:DMN131006 DWJ130937:DWJ131006 EGF130937:EGF131006 EQB130937:EQB131006 EZX130937:EZX131006 FJT130937:FJT131006 FTP130937:FTP131006 GDL130937:GDL131006 GNH130937:GNH131006 GXD130937:GXD131006 HGZ130937:HGZ131006 HQV130937:HQV131006 IAR130937:IAR131006 IKN130937:IKN131006 IUJ130937:IUJ131006 JEF130937:JEF131006 JOB130937:JOB131006 JXX130937:JXX131006 KHT130937:KHT131006 KRP130937:KRP131006 LBL130937:LBL131006 LLH130937:LLH131006 LVD130937:LVD131006 MEZ130937:MEZ131006 MOV130937:MOV131006 MYR130937:MYR131006 NIN130937:NIN131006 NSJ130937:NSJ131006 OCF130937:OCF131006 OMB130937:OMB131006 OVX130937:OVX131006 PFT130937:PFT131006 PPP130937:PPP131006 PZL130937:PZL131006 QJH130937:QJH131006 QTD130937:QTD131006 RCZ130937:RCZ131006 RMV130937:RMV131006 RWR130937:RWR131006 SGN130937:SGN131006 SQJ130937:SQJ131006 TAF130937:TAF131006 TKB130937:TKB131006 TTX130937:TTX131006 UDT130937:UDT131006 UNP130937:UNP131006 UXL130937:UXL131006 VHH130937:VHH131006 VRD130937:VRD131006 WAZ130937:WAZ131006 WKV130937:WKV131006 WUR130937:WUR131006 IF196473:IF196542 SB196473:SB196542 ABX196473:ABX196542 ALT196473:ALT196542 AVP196473:AVP196542 BFL196473:BFL196542 BPH196473:BPH196542 BZD196473:BZD196542 CIZ196473:CIZ196542 CSV196473:CSV196542 DCR196473:DCR196542 DMN196473:DMN196542 DWJ196473:DWJ196542 EGF196473:EGF196542 EQB196473:EQB196542 EZX196473:EZX196542 FJT196473:FJT196542 FTP196473:FTP196542 GDL196473:GDL196542 GNH196473:GNH196542 GXD196473:GXD196542 HGZ196473:HGZ196542 HQV196473:HQV196542 IAR196473:IAR196542 IKN196473:IKN196542 IUJ196473:IUJ196542 JEF196473:JEF196542 JOB196473:JOB196542 JXX196473:JXX196542 KHT196473:KHT196542 KRP196473:KRP196542 LBL196473:LBL196542 LLH196473:LLH196542 LVD196473:LVD196542 MEZ196473:MEZ196542 MOV196473:MOV196542 MYR196473:MYR196542 NIN196473:NIN196542 NSJ196473:NSJ196542 OCF196473:OCF196542 OMB196473:OMB196542 OVX196473:OVX196542 PFT196473:PFT196542 PPP196473:PPP196542 PZL196473:PZL196542 QJH196473:QJH196542 QTD196473:QTD196542 RCZ196473:RCZ196542 RMV196473:RMV196542 RWR196473:RWR196542 SGN196473:SGN196542 SQJ196473:SQJ196542 TAF196473:TAF196542 TKB196473:TKB196542 TTX196473:TTX196542 UDT196473:UDT196542 UNP196473:UNP196542 UXL196473:UXL196542 VHH196473:VHH196542 VRD196473:VRD196542 WAZ196473:WAZ196542 WKV196473:WKV196542 WUR196473:WUR196542 IF262009:IF262078 SB262009:SB262078 ABX262009:ABX262078 ALT262009:ALT262078 AVP262009:AVP262078 BFL262009:BFL262078 BPH262009:BPH262078 BZD262009:BZD262078 CIZ262009:CIZ262078 CSV262009:CSV262078 DCR262009:DCR262078 DMN262009:DMN262078 DWJ262009:DWJ262078 EGF262009:EGF262078 EQB262009:EQB262078 EZX262009:EZX262078 FJT262009:FJT262078 FTP262009:FTP262078 GDL262009:GDL262078 GNH262009:GNH262078 GXD262009:GXD262078 HGZ262009:HGZ262078 HQV262009:HQV262078 IAR262009:IAR262078 IKN262009:IKN262078 IUJ262009:IUJ262078 JEF262009:JEF262078 JOB262009:JOB262078 JXX262009:JXX262078 KHT262009:KHT262078 KRP262009:KRP262078 LBL262009:LBL262078 LLH262009:LLH262078 LVD262009:LVD262078 MEZ262009:MEZ262078 MOV262009:MOV262078 MYR262009:MYR262078 NIN262009:NIN262078 NSJ262009:NSJ262078 OCF262009:OCF262078 OMB262009:OMB262078 OVX262009:OVX262078 PFT262009:PFT262078 PPP262009:PPP262078 PZL262009:PZL262078 QJH262009:QJH262078 QTD262009:QTD262078 RCZ262009:RCZ262078 RMV262009:RMV262078 RWR262009:RWR262078 SGN262009:SGN262078 SQJ262009:SQJ262078 TAF262009:TAF262078 TKB262009:TKB262078 TTX262009:TTX262078 UDT262009:UDT262078 UNP262009:UNP262078 UXL262009:UXL262078 VHH262009:VHH262078 VRD262009:VRD262078 WAZ262009:WAZ262078 WKV262009:WKV262078 WUR262009:WUR262078 IF327545:IF327614 SB327545:SB327614 ABX327545:ABX327614 ALT327545:ALT327614 AVP327545:AVP327614 BFL327545:BFL327614 BPH327545:BPH327614 BZD327545:BZD327614 CIZ327545:CIZ327614 CSV327545:CSV327614 DCR327545:DCR327614 DMN327545:DMN327614 DWJ327545:DWJ327614 EGF327545:EGF327614 EQB327545:EQB327614 EZX327545:EZX327614 FJT327545:FJT327614 FTP327545:FTP327614 GDL327545:GDL327614 GNH327545:GNH327614 GXD327545:GXD327614 HGZ327545:HGZ327614 HQV327545:HQV327614 IAR327545:IAR327614 IKN327545:IKN327614 IUJ327545:IUJ327614 JEF327545:JEF327614 JOB327545:JOB327614 JXX327545:JXX327614 KHT327545:KHT327614 KRP327545:KRP327614 LBL327545:LBL327614 LLH327545:LLH327614 LVD327545:LVD327614 MEZ327545:MEZ327614 MOV327545:MOV327614 MYR327545:MYR327614 NIN327545:NIN327614 NSJ327545:NSJ327614 OCF327545:OCF327614 OMB327545:OMB327614 OVX327545:OVX327614 PFT327545:PFT327614 PPP327545:PPP327614 PZL327545:PZL327614 QJH327545:QJH327614 QTD327545:QTD327614 RCZ327545:RCZ327614 RMV327545:RMV327614 RWR327545:RWR327614 SGN327545:SGN327614 SQJ327545:SQJ327614 TAF327545:TAF327614 TKB327545:TKB327614 TTX327545:TTX327614 UDT327545:UDT327614 UNP327545:UNP327614 UXL327545:UXL327614 VHH327545:VHH327614 VRD327545:VRD327614 WAZ327545:WAZ327614 WKV327545:WKV327614 WUR327545:WUR327614 IF393081:IF393150 SB393081:SB393150 ABX393081:ABX393150 ALT393081:ALT393150 AVP393081:AVP393150 BFL393081:BFL393150 BPH393081:BPH393150 BZD393081:BZD393150 CIZ393081:CIZ393150 CSV393081:CSV393150 DCR393081:DCR393150 DMN393081:DMN393150 DWJ393081:DWJ393150 EGF393081:EGF393150 EQB393081:EQB393150 EZX393081:EZX393150 FJT393081:FJT393150 FTP393081:FTP393150 GDL393081:GDL393150 GNH393081:GNH393150 GXD393081:GXD393150 HGZ393081:HGZ393150 HQV393081:HQV393150 IAR393081:IAR393150 IKN393081:IKN393150 IUJ393081:IUJ393150 JEF393081:JEF393150 JOB393081:JOB393150 JXX393081:JXX393150 KHT393081:KHT393150 KRP393081:KRP393150 LBL393081:LBL393150 LLH393081:LLH393150 LVD393081:LVD393150 MEZ393081:MEZ393150 MOV393081:MOV393150 MYR393081:MYR393150 NIN393081:NIN393150 NSJ393081:NSJ393150 OCF393081:OCF393150 OMB393081:OMB393150 OVX393081:OVX393150 PFT393081:PFT393150 PPP393081:PPP393150 PZL393081:PZL393150 QJH393081:QJH393150 QTD393081:QTD393150 RCZ393081:RCZ393150 RMV393081:RMV393150 RWR393081:RWR393150 SGN393081:SGN393150 SQJ393081:SQJ393150 TAF393081:TAF393150 TKB393081:TKB393150 TTX393081:TTX393150 UDT393081:UDT393150 UNP393081:UNP393150 UXL393081:UXL393150 VHH393081:VHH393150 VRD393081:VRD393150 WAZ393081:WAZ393150 WKV393081:WKV393150 WUR393081:WUR393150 IF458617:IF458686 SB458617:SB458686 ABX458617:ABX458686 ALT458617:ALT458686 AVP458617:AVP458686 BFL458617:BFL458686 BPH458617:BPH458686 BZD458617:BZD458686 CIZ458617:CIZ458686 CSV458617:CSV458686 DCR458617:DCR458686 DMN458617:DMN458686 DWJ458617:DWJ458686 EGF458617:EGF458686 EQB458617:EQB458686 EZX458617:EZX458686 FJT458617:FJT458686 FTP458617:FTP458686 GDL458617:GDL458686 GNH458617:GNH458686 GXD458617:GXD458686 HGZ458617:HGZ458686 HQV458617:HQV458686 IAR458617:IAR458686 IKN458617:IKN458686 IUJ458617:IUJ458686 JEF458617:JEF458686 JOB458617:JOB458686 JXX458617:JXX458686 KHT458617:KHT458686 KRP458617:KRP458686 LBL458617:LBL458686 LLH458617:LLH458686 LVD458617:LVD458686 MEZ458617:MEZ458686 MOV458617:MOV458686 MYR458617:MYR458686 NIN458617:NIN458686 NSJ458617:NSJ458686 OCF458617:OCF458686 OMB458617:OMB458686 OVX458617:OVX458686 PFT458617:PFT458686 PPP458617:PPP458686 PZL458617:PZL458686 QJH458617:QJH458686 QTD458617:QTD458686 RCZ458617:RCZ458686 RMV458617:RMV458686 RWR458617:RWR458686 SGN458617:SGN458686 SQJ458617:SQJ458686 TAF458617:TAF458686 TKB458617:TKB458686 TTX458617:TTX458686 UDT458617:UDT458686 UNP458617:UNP458686 UXL458617:UXL458686 VHH458617:VHH458686 VRD458617:VRD458686 WAZ458617:WAZ458686 WKV458617:WKV458686 WUR458617:WUR458686 IF524153:IF524222 SB524153:SB524222 ABX524153:ABX524222 ALT524153:ALT524222 AVP524153:AVP524222 BFL524153:BFL524222 BPH524153:BPH524222 BZD524153:BZD524222 CIZ524153:CIZ524222 CSV524153:CSV524222 DCR524153:DCR524222 DMN524153:DMN524222 DWJ524153:DWJ524222 EGF524153:EGF524222 EQB524153:EQB524222 EZX524153:EZX524222 FJT524153:FJT524222 FTP524153:FTP524222 GDL524153:GDL524222 GNH524153:GNH524222 GXD524153:GXD524222 HGZ524153:HGZ524222 HQV524153:HQV524222 IAR524153:IAR524222 IKN524153:IKN524222 IUJ524153:IUJ524222 JEF524153:JEF524222 JOB524153:JOB524222 JXX524153:JXX524222 KHT524153:KHT524222 KRP524153:KRP524222 LBL524153:LBL524222 LLH524153:LLH524222 LVD524153:LVD524222 MEZ524153:MEZ524222 MOV524153:MOV524222 MYR524153:MYR524222 NIN524153:NIN524222 NSJ524153:NSJ524222 OCF524153:OCF524222 OMB524153:OMB524222 OVX524153:OVX524222 PFT524153:PFT524222 PPP524153:PPP524222 PZL524153:PZL524222 QJH524153:QJH524222 QTD524153:QTD524222 RCZ524153:RCZ524222 RMV524153:RMV524222 RWR524153:RWR524222 SGN524153:SGN524222 SQJ524153:SQJ524222 TAF524153:TAF524222 TKB524153:TKB524222 TTX524153:TTX524222 UDT524153:UDT524222 UNP524153:UNP524222 UXL524153:UXL524222 VHH524153:VHH524222 VRD524153:VRD524222 WAZ524153:WAZ524222 WKV524153:WKV524222 WUR524153:WUR524222 IF589689:IF589758 SB589689:SB589758 ABX589689:ABX589758 ALT589689:ALT589758 AVP589689:AVP589758 BFL589689:BFL589758 BPH589689:BPH589758 BZD589689:BZD589758 CIZ589689:CIZ589758 CSV589689:CSV589758 DCR589689:DCR589758 DMN589689:DMN589758 DWJ589689:DWJ589758 EGF589689:EGF589758 EQB589689:EQB589758 EZX589689:EZX589758 FJT589689:FJT589758 FTP589689:FTP589758 GDL589689:GDL589758 GNH589689:GNH589758 GXD589689:GXD589758 HGZ589689:HGZ589758 HQV589689:HQV589758 IAR589689:IAR589758 IKN589689:IKN589758 IUJ589689:IUJ589758 JEF589689:JEF589758 JOB589689:JOB589758 JXX589689:JXX589758 KHT589689:KHT589758 KRP589689:KRP589758 LBL589689:LBL589758 LLH589689:LLH589758 LVD589689:LVD589758 MEZ589689:MEZ589758 MOV589689:MOV589758 MYR589689:MYR589758 NIN589689:NIN589758 NSJ589689:NSJ589758 OCF589689:OCF589758 OMB589689:OMB589758 OVX589689:OVX589758 PFT589689:PFT589758 PPP589689:PPP589758 PZL589689:PZL589758 QJH589689:QJH589758 QTD589689:QTD589758 RCZ589689:RCZ589758 RMV589689:RMV589758 RWR589689:RWR589758 SGN589689:SGN589758 SQJ589689:SQJ589758 TAF589689:TAF589758 TKB589689:TKB589758 TTX589689:TTX589758 UDT589689:UDT589758 UNP589689:UNP589758 UXL589689:UXL589758 VHH589689:VHH589758 VRD589689:VRD589758 WAZ589689:WAZ589758 WKV589689:WKV589758 WUR589689:WUR589758 IF655225:IF655294 SB655225:SB655294 ABX655225:ABX655294 ALT655225:ALT655294 AVP655225:AVP655294 BFL655225:BFL655294 BPH655225:BPH655294 BZD655225:BZD655294 CIZ655225:CIZ655294 CSV655225:CSV655294 DCR655225:DCR655294 DMN655225:DMN655294 DWJ655225:DWJ655294 EGF655225:EGF655294 EQB655225:EQB655294 EZX655225:EZX655294 FJT655225:FJT655294 FTP655225:FTP655294 GDL655225:GDL655294 GNH655225:GNH655294 GXD655225:GXD655294 HGZ655225:HGZ655294 HQV655225:HQV655294 IAR655225:IAR655294 IKN655225:IKN655294 IUJ655225:IUJ655294 JEF655225:JEF655294 JOB655225:JOB655294 JXX655225:JXX655294 KHT655225:KHT655294 KRP655225:KRP655294 LBL655225:LBL655294 LLH655225:LLH655294 LVD655225:LVD655294 MEZ655225:MEZ655294 MOV655225:MOV655294 MYR655225:MYR655294 NIN655225:NIN655294 NSJ655225:NSJ655294 OCF655225:OCF655294 OMB655225:OMB655294 OVX655225:OVX655294 PFT655225:PFT655294 PPP655225:PPP655294 PZL655225:PZL655294 QJH655225:QJH655294 QTD655225:QTD655294 RCZ655225:RCZ655294 RMV655225:RMV655294 RWR655225:RWR655294 SGN655225:SGN655294 SQJ655225:SQJ655294 TAF655225:TAF655294 TKB655225:TKB655294 TTX655225:TTX655294 UDT655225:UDT655294 UNP655225:UNP655294 UXL655225:UXL655294 VHH655225:VHH655294 VRD655225:VRD655294 WAZ655225:WAZ655294 WKV655225:WKV655294 WUR655225:WUR655294 IF720761:IF720830 SB720761:SB720830 ABX720761:ABX720830 ALT720761:ALT720830 AVP720761:AVP720830 BFL720761:BFL720830 BPH720761:BPH720830 BZD720761:BZD720830 CIZ720761:CIZ720830 CSV720761:CSV720830 DCR720761:DCR720830 DMN720761:DMN720830 DWJ720761:DWJ720830 EGF720761:EGF720830 EQB720761:EQB720830 EZX720761:EZX720830 FJT720761:FJT720830 FTP720761:FTP720830 GDL720761:GDL720830 GNH720761:GNH720830 GXD720761:GXD720830 HGZ720761:HGZ720830 HQV720761:HQV720830 IAR720761:IAR720830 IKN720761:IKN720830 IUJ720761:IUJ720830 JEF720761:JEF720830 JOB720761:JOB720830 JXX720761:JXX720830 KHT720761:KHT720830 KRP720761:KRP720830 LBL720761:LBL720830 LLH720761:LLH720830 LVD720761:LVD720830 MEZ720761:MEZ720830 MOV720761:MOV720830 MYR720761:MYR720830 NIN720761:NIN720830 NSJ720761:NSJ720830 OCF720761:OCF720830 OMB720761:OMB720830 OVX720761:OVX720830 PFT720761:PFT720830 PPP720761:PPP720830 PZL720761:PZL720830 QJH720761:QJH720830 QTD720761:QTD720830 RCZ720761:RCZ720830 RMV720761:RMV720830 RWR720761:RWR720830 SGN720761:SGN720830 SQJ720761:SQJ720830 TAF720761:TAF720830 TKB720761:TKB720830 TTX720761:TTX720830 UDT720761:UDT720830 UNP720761:UNP720830 UXL720761:UXL720830 VHH720761:VHH720830 VRD720761:VRD720830 WAZ720761:WAZ720830 WKV720761:WKV720830 WUR720761:WUR720830 IF786297:IF786366 SB786297:SB786366 ABX786297:ABX786366 ALT786297:ALT786366 AVP786297:AVP786366 BFL786297:BFL786366 BPH786297:BPH786366 BZD786297:BZD786366 CIZ786297:CIZ786366 CSV786297:CSV786366 DCR786297:DCR786366 DMN786297:DMN786366 DWJ786297:DWJ786366 EGF786297:EGF786366 EQB786297:EQB786366 EZX786297:EZX786366 FJT786297:FJT786366 FTP786297:FTP786366 GDL786297:GDL786366 GNH786297:GNH786366 GXD786297:GXD786366 HGZ786297:HGZ786366 HQV786297:HQV786366 IAR786297:IAR786366 IKN786297:IKN786366 IUJ786297:IUJ786366 JEF786297:JEF786366 JOB786297:JOB786366 JXX786297:JXX786366 KHT786297:KHT786366 KRP786297:KRP786366 LBL786297:LBL786366 LLH786297:LLH786366 LVD786297:LVD786366 MEZ786297:MEZ786366 MOV786297:MOV786366 MYR786297:MYR786366 NIN786297:NIN786366 NSJ786297:NSJ786366 OCF786297:OCF786366 OMB786297:OMB786366 OVX786297:OVX786366 PFT786297:PFT786366 PPP786297:PPP786366 PZL786297:PZL786366 QJH786297:QJH786366 QTD786297:QTD786366 RCZ786297:RCZ786366 RMV786297:RMV786366 RWR786297:RWR786366 SGN786297:SGN786366 SQJ786297:SQJ786366 TAF786297:TAF786366 TKB786297:TKB786366 TTX786297:TTX786366 UDT786297:UDT786366 UNP786297:UNP786366 UXL786297:UXL786366 VHH786297:VHH786366 VRD786297:VRD786366 WAZ786297:WAZ786366 WKV786297:WKV786366 WUR786297:WUR786366 IF851833:IF851902 SB851833:SB851902 ABX851833:ABX851902 ALT851833:ALT851902 AVP851833:AVP851902 BFL851833:BFL851902 BPH851833:BPH851902 BZD851833:BZD851902 CIZ851833:CIZ851902 CSV851833:CSV851902 DCR851833:DCR851902 DMN851833:DMN851902 DWJ851833:DWJ851902 EGF851833:EGF851902 EQB851833:EQB851902 EZX851833:EZX851902 FJT851833:FJT851902 FTP851833:FTP851902 GDL851833:GDL851902 GNH851833:GNH851902 GXD851833:GXD851902 HGZ851833:HGZ851902 HQV851833:HQV851902 IAR851833:IAR851902 IKN851833:IKN851902 IUJ851833:IUJ851902 JEF851833:JEF851902 JOB851833:JOB851902 JXX851833:JXX851902 KHT851833:KHT851902 KRP851833:KRP851902 LBL851833:LBL851902 LLH851833:LLH851902 LVD851833:LVD851902 MEZ851833:MEZ851902 MOV851833:MOV851902 MYR851833:MYR851902 NIN851833:NIN851902 NSJ851833:NSJ851902 OCF851833:OCF851902 OMB851833:OMB851902 OVX851833:OVX851902 PFT851833:PFT851902 PPP851833:PPP851902 PZL851833:PZL851902 QJH851833:QJH851902 QTD851833:QTD851902 RCZ851833:RCZ851902 RMV851833:RMV851902 RWR851833:RWR851902 SGN851833:SGN851902 SQJ851833:SQJ851902 TAF851833:TAF851902 TKB851833:TKB851902 TTX851833:TTX851902 UDT851833:UDT851902 UNP851833:UNP851902 UXL851833:UXL851902 VHH851833:VHH851902 VRD851833:VRD851902 WAZ851833:WAZ851902 WKV851833:WKV851902 WUR851833:WUR851902 IF917369:IF917438 SB917369:SB917438 ABX917369:ABX917438 ALT917369:ALT917438 AVP917369:AVP917438 BFL917369:BFL917438 BPH917369:BPH917438 BZD917369:BZD917438 CIZ917369:CIZ917438 CSV917369:CSV917438 DCR917369:DCR917438 DMN917369:DMN917438 DWJ917369:DWJ917438 EGF917369:EGF917438 EQB917369:EQB917438 EZX917369:EZX917438 FJT917369:FJT917438 FTP917369:FTP917438 GDL917369:GDL917438 GNH917369:GNH917438 GXD917369:GXD917438 HGZ917369:HGZ917438 HQV917369:HQV917438 IAR917369:IAR917438 IKN917369:IKN917438 IUJ917369:IUJ917438 JEF917369:JEF917438 JOB917369:JOB917438 JXX917369:JXX917438 KHT917369:KHT917438 KRP917369:KRP917438 LBL917369:LBL917438 LLH917369:LLH917438 LVD917369:LVD917438 MEZ917369:MEZ917438 MOV917369:MOV917438 MYR917369:MYR917438 NIN917369:NIN917438 NSJ917369:NSJ917438 OCF917369:OCF917438 OMB917369:OMB917438 OVX917369:OVX917438 PFT917369:PFT917438 PPP917369:PPP917438 PZL917369:PZL917438 QJH917369:QJH917438 QTD917369:QTD917438 RCZ917369:RCZ917438 RMV917369:RMV917438 RWR917369:RWR917438 SGN917369:SGN917438 SQJ917369:SQJ917438 TAF917369:TAF917438 TKB917369:TKB917438 TTX917369:TTX917438 UDT917369:UDT917438 UNP917369:UNP917438 UXL917369:UXL917438 VHH917369:VHH917438 VRD917369:VRD917438 WAZ917369:WAZ917438 WKV917369:WKV917438 WUR917369:WUR917438 IF982905:IF982974 SB982905:SB982974 ABX982905:ABX982974 ALT982905:ALT982974 AVP982905:AVP982974 BFL982905:BFL982974 BPH982905:BPH982974 BZD982905:BZD982974 CIZ982905:CIZ982974 CSV982905:CSV982974 DCR982905:DCR982974 DMN982905:DMN982974 DWJ982905:DWJ982974 EGF982905:EGF982974 EQB982905:EQB982974 EZX982905:EZX982974 FJT982905:FJT982974 FTP982905:FTP982974 GDL982905:GDL982974 GNH982905:GNH982974 GXD982905:GXD982974 HGZ982905:HGZ982974 HQV982905:HQV982974 IAR982905:IAR982974 IKN982905:IKN982974 IUJ982905:IUJ982974 JEF982905:JEF982974 JOB982905:JOB982974 JXX982905:JXX982974 KHT982905:KHT982974 KRP982905:KRP982974 LBL982905:LBL982974 LLH982905:LLH982974 LVD982905:LVD982974 MEZ982905:MEZ982974 MOV982905:MOV982974 MYR982905:MYR982974 NIN982905:NIN982974 NSJ982905:NSJ982974 OCF982905:OCF982974 OMB982905:OMB982974 OVX982905:OVX982974 PFT982905:PFT982974 PPP982905:PPP982974 PZL982905:PZL982974 QJH982905:QJH982974 QTD982905:QTD982974 RCZ982905:RCZ982974 RMV982905:RMV982974 RWR982905:RWR982974 SGN982905:SGN982974 SQJ982905:SQJ982974 TAF982905:TAF982974 TKB982905:TKB982974 TTX982905:TTX982974 UDT982905:UDT982974 UNP982905:UNP982974 UXL982905:UXL982974 VHH982905:VHH982974 VRD982905:VRD982974 WAZ982905:WAZ982974 WKV982905:WKV982974 WUR982905:WUR982974 BFL4:BFL9 AVP4:AVP9 ALT4:ALT9 ABX4:ABX9 SB4:SB9 IF4:IF9 WUR4:WUR9 WAZ4:WAZ9 WKV4:WKV9 VRD4:VRD9 VHH4:VHH9 UXL4:UXL9 UNP4:UNP9 UDT4:UDT9 TTX4:TTX9 TKB4:TKB9 TAF4:TAF9 SQJ4:SQJ9 SGN4:SGN9 RWR4:RWR9 RMV4:RMV9 RCZ4:RCZ9 QTD4:QTD9 QJH4:QJH9 PZL4:PZL9 PPP4:PPP9 PFT4:PFT9 OVX4:OVX9 OMB4:OMB9 OCF4:OCF9 NSJ4:NSJ9 NIN4:NIN9 MYR4:MYR9 MOV4:MOV9 MEZ4:MEZ9 LVD4:LVD9 LLH4:LLH9 LBL4:LBL9 KRP4:KRP9 KHT4:KHT9 JXX4:JXX9 JOB4:JOB9 JEF4:JEF9 IUJ4:IUJ9 IKN4:IKN9 IAR4:IAR9 HQV4:HQV9 HGZ4:HGZ9 GXD4:GXD9 GNH4:GNH9 GDL4:GDL9 FTP4:FTP9 FJT4:FJT9 EZX4:EZX9 EQB4:EQB9 EGF4:EGF9 DWJ4:DWJ9 DMN4:DMN9 DCR4:DCR9 CSV4:CSV9 CIZ4:CIZ9 BZD4:BZD9 BPH4:BPH9" xr:uid="{0D8A18AB-9A36-41E9-B462-A7D5D7953BA1}">
      <formula1>"0～9と-のみ,画面構成項目（ボタン等）,日付,セパレート日付,数字のみ,数字と小数点,数字とマイナス記号と小数点,英字のみ,英字（大文字）のみ,英字（小文字）のみ,英数字のみ,英数字（大文字）のみ,英数字（小文字）のみ,英数字記号のみ,英数字記号（'""*%|以外）のみ,0～9のみ,ひらがなのみ,カタカナのみ,全角のみ,E-mailアドレス,""*%|以外,全て,E-mailアドレス,郵便番号,全角('""*%|以外)のみ"</formula1>
    </dataValidation>
    <dataValidation type="list" allowBlank="1" showInputMessage="1" showErrorMessage="1" sqref="IT65401:IU65470 SP65401:SQ65470 ACL65401:ACM65470 AMH65401:AMI65470 AWD65401:AWE65470 BFZ65401:BGA65470 BPV65401:BPW65470 BZR65401:BZS65470 CJN65401:CJO65470 CTJ65401:CTK65470 DDF65401:DDG65470 DNB65401:DNC65470 DWX65401:DWY65470 EGT65401:EGU65470 EQP65401:EQQ65470 FAL65401:FAM65470 FKH65401:FKI65470 FUD65401:FUE65470 GDZ65401:GEA65470 GNV65401:GNW65470 GXR65401:GXS65470 HHN65401:HHO65470 HRJ65401:HRK65470 IBF65401:IBG65470 ILB65401:ILC65470 IUX65401:IUY65470 JET65401:JEU65470 JOP65401:JOQ65470 JYL65401:JYM65470 KIH65401:KII65470 KSD65401:KSE65470 LBZ65401:LCA65470 LLV65401:LLW65470 LVR65401:LVS65470 MFN65401:MFO65470 MPJ65401:MPK65470 MZF65401:MZG65470 NJB65401:NJC65470 NSX65401:NSY65470 OCT65401:OCU65470 OMP65401:OMQ65470 OWL65401:OWM65470 PGH65401:PGI65470 PQD65401:PQE65470 PZZ65401:QAA65470 QJV65401:QJW65470 QTR65401:QTS65470 RDN65401:RDO65470 RNJ65401:RNK65470 RXF65401:RXG65470 SHB65401:SHC65470 SQX65401:SQY65470 TAT65401:TAU65470 TKP65401:TKQ65470 TUL65401:TUM65470 UEH65401:UEI65470 UOD65401:UOE65470 UXZ65401:UYA65470 VHV65401:VHW65470 VRR65401:VRS65470 WBN65401:WBO65470 WLJ65401:WLK65470 WVF65401:WVG65470 IT130937:IU131006 SP130937:SQ131006 ACL130937:ACM131006 AMH130937:AMI131006 AWD130937:AWE131006 BFZ130937:BGA131006 BPV130937:BPW131006 BZR130937:BZS131006 CJN130937:CJO131006 CTJ130937:CTK131006 DDF130937:DDG131006 DNB130937:DNC131006 DWX130937:DWY131006 EGT130937:EGU131006 EQP130937:EQQ131006 FAL130937:FAM131006 FKH130937:FKI131006 FUD130937:FUE131006 GDZ130937:GEA131006 GNV130937:GNW131006 GXR130937:GXS131006 HHN130937:HHO131006 HRJ130937:HRK131006 IBF130937:IBG131006 ILB130937:ILC131006 IUX130937:IUY131006 JET130937:JEU131006 JOP130937:JOQ131006 JYL130937:JYM131006 KIH130937:KII131006 KSD130937:KSE131006 LBZ130937:LCA131006 LLV130937:LLW131006 LVR130937:LVS131006 MFN130937:MFO131006 MPJ130937:MPK131006 MZF130937:MZG131006 NJB130937:NJC131006 NSX130937:NSY131006 OCT130937:OCU131006 OMP130937:OMQ131006 OWL130937:OWM131006 PGH130937:PGI131006 PQD130937:PQE131006 PZZ130937:QAA131006 QJV130937:QJW131006 QTR130937:QTS131006 RDN130937:RDO131006 RNJ130937:RNK131006 RXF130937:RXG131006 SHB130937:SHC131006 SQX130937:SQY131006 TAT130937:TAU131006 TKP130937:TKQ131006 TUL130937:TUM131006 UEH130937:UEI131006 UOD130937:UOE131006 UXZ130937:UYA131006 VHV130937:VHW131006 VRR130937:VRS131006 WBN130937:WBO131006 WLJ130937:WLK131006 WVF130937:WVG131006 IT196473:IU196542 SP196473:SQ196542 ACL196473:ACM196542 AMH196473:AMI196542 AWD196473:AWE196542 BFZ196473:BGA196542 BPV196473:BPW196542 BZR196473:BZS196542 CJN196473:CJO196542 CTJ196473:CTK196542 DDF196473:DDG196542 DNB196473:DNC196542 DWX196473:DWY196542 EGT196473:EGU196542 EQP196473:EQQ196542 FAL196473:FAM196542 FKH196473:FKI196542 FUD196473:FUE196542 GDZ196473:GEA196542 GNV196473:GNW196542 GXR196473:GXS196542 HHN196473:HHO196542 HRJ196473:HRK196542 IBF196473:IBG196542 ILB196473:ILC196542 IUX196473:IUY196542 JET196473:JEU196542 JOP196473:JOQ196542 JYL196473:JYM196542 KIH196473:KII196542 KSD196473:KSE196542 LBZ196473:LCA196542 LLV196473:LLW196542 LVR196473:LVS196542 MFN196473:MFO196542 MPJ196473:MPK196542 MZF196473:MZG196542 NJB196473:NJC196542 NSX196473:NSY196542 OCT196473:OCU196542 OMP196473:OMQ196542 OWL196473:OWM196542 PGH196473:PGI196542 PQD196473:PQE196542 PZZ196473:QAA196542 QJV196473:QJW196542 QTR196473:QTS196542 RDN196473:RDO196542 RNJ196473:RNK196542 RXF196473:RXG196542 SHB196473:SHC196542 SQX196473:SQY196542 TAT196473:TAU196542 TKP196473:TKQ196542 TUL196473:TUM196542 UEH196473:UEI196542 UOD196473:UOE196542 UXZ196473:UYA196542 VHV196473:VHW196542 VRR196473:VRS196542 WBN196473:WBO196542 WLJ196473:WLK196542 WVF196473:WVG196542 IT262009:IU262078 SP262009:SQ262078 ACL262009:ACM262078 AMH262009:AMI262078 AWD262009:AWE262078 BFZ262009:BGA262078 BPV262009:BPW262078 BZR262009:BZS262078 CJN262009:CJO262078 CTJ262009:CTK262078 DDF262009:DDG262078 DNB262009:DNC262078 DWX262009:DWY262078 EGT262009:EGU262078 EQP262009:EQQ262078 FAL262009:FAM262078 FKH262009:FKI262078 FUD262009:FUE262078 GDZ262009:GEA262078 GNV262009:GNW262078 GXR262009:GXS262078 HHN262009:HHO262078 HRJ262009:HRK262078 IBF262009:IBG262078 ILB262009:ILC262078 IUX262009:IUY262078 JET262009:JEU262078 JOP262009:JOQ262078 JYL262009:JYM262078 KIH262009:KII262078 KSD262009:KSE262078 LBZ262009:LCA262078 LLV262009:LLW262078 LVR262009:LVS262078 MFN262009:MFO262078 MPJ262009:MPK262078 MZF262009:MZG262078 NJB262009:NJC262078 NSX262009:NSY262078 OCT262009:OCU262078 OMP262009:OMQ262078 OWL262009:OWM262078 PGH262009:PGI262078 PQD262009:PQE262078 PZZ262009:QAA262078 QJV262009:QJW262078 QTR262009:QTS262078 RDN262009:RDO262078 RNJ262009:RNK262078 RXF262009:RXG262078 SHB262009:SHC262078 SQX262009:SQY262078 TAT262009:TAU262078 TKP262009:TKQ262078 TUL262009:TUM262078 UEH262009:UEI262078 UOD262009:UOE262078 UXZ262009:UYA262078 VHV262009:VHW262078 VRR262009:VRS262078 WBN262009:WBO262078 WLJ262009:WLK262078 WVF262009:WVG262078 IT327545:IU327614 SP327545:SQ327614 ACL327545:ACM327614 AMH327545:AMI327614 AWD327545:AWE327614 BFZ327545:BGA327614 BPV327545:BPW327614 BZR327545:BZS327614 CJN327545:CJO327614 CTJ327545:CTK327614 DDF327545:DDG327614 DNB327545:DNC327614 DWX327545:DWY327614 EGT327545:EGU327614 EQP327545:EQQ327614 FAL327545:FAM327614 FKH327545:FKI327614 FUD327545:FUE327614 GDZ327545:GEA327614 GNV327545:GNW327614 GXR327545:GXS327614 HHN327545:HHO327614 HRJ327545:HRK327614 IBF327545:IBG327614 ILB327545:ILC327614 IUX327545:IUY327614 JET327545:JEU327614 JOP327545:JOQ327614 JYL327545:JYM327614 KIH327545:KII327614 KSD327545:KSE327614 LBZ327545:LCA327614 LLV327545:LLW327614 LVR327545:LVS327614 MFN327545:MFO327614 MPJ327545:MPK327614 MZF327545:MZG327614 NJB327545:NJC327614 NSX327545:NSY327614 OCT327545:OCU327614 OMP327545:OMQ327614 OWL327545:OWM327614 PGH327545:PGI327614 PQD327545:PQE327614 PZZ327545:QAA327614 QJV327545:QJW327614 QTR327545:QTS327614 RDN327545:RDO327614 RNJ327545:RNK327614 RXF327545:RXG327614 SHB327545:SHC327614 SQX327545:SQY327614 TAT327545:TAU327614 TKP327545:TKQ327614 TUL327545:TUM327614 UEH327545:UEI327614 UOD327545:UOE327614 UXZ327545:UYA327614 VHV327545:VHW327614 VRR327545:VRS327614 WBN327545:WBO327614 WLJ327545:WLK327614 WVF327545:WVG327614 IT393081:IU393150 SP393081:SQ393150 ACL393081:ACM393150 AMH393081:AMI393150 AWD393081:AWE393150 BFZ393081:BGA393150 BPV393081:BPW393150 BZR393081:BZS393150 CJN393081:CJO393150 CTJ393081:CTK393150 DDF393081:DDG393150 DNB393081:DNC393150 DWX393081:DWY393150 EGT393081:EGU393150 EQP393081:EQQ393150 FAL393081:FAM393150 FKH393081:FKI393150 FUD393081:FUE393150 GDZ393081:GEA393150 GNV393081:GNW393150 GXR393081:GXS393150 HHN393081:HHO393150 HRJ393081:HRK393150 IBF393081:IBG393150 ILB393081:ILC393150 IUX393081:IUY393150 JET393081:JEU393150 JOP393081:JOQ393150 JYL393081:JYM393150 KIH393081:KII393150 KSD393081:KSE393150 LBZ393081:LCA393150 LLV393081:LLW393150 LVR393081:LVS393150 MFN393081:MFO393150 MPJ393081:MPK393150 MZF393081:MZG393150 NJB393081:NJC393150 NSX393081:NSY393150 OCT393081:OCU393150 OMP393081:OMQ393150 OWL393081:OWM393150 PGH393081:PGI393150 PQD393081:PQE393150 PZZ393081:QAA393150 QJV393081:QJW393150 QTR393081:QTS393150 RDN393081:RDO393150 RNJ393081:RNK393150 RXF393081:RXG393150 SHB393081:SHC393150 SQX393081:SQY393150 TAT393081:TAU393150 TKP393081:TKQ393150 TUL393081:TUM393150 UEH393081:UEI393150 UOD393081:UOE393150 UXZ393081:UYA393150 VHV393081:VHW393150 VRR393081:VRS393150 WBN393081:WBO393150 WLJ393081:WLK393150 WVF393081:WVG393150 IT458617:IU458686 SP458617:SQ458686 ACL458617:ACM458686 AMH458617:AMI458686 AWD458617:AWE458686 BFZ458617:BGA458686 BPV458617:BPW458686 BZR458617:BZS458686 CJN458617:CJO458686 CTJ458617:CTK458686 DDF458617:DDG458686 DNB458617:DNC458686 DWX458617:DWY458686 EGT458617:EGU458686 EQP458617:EQQ458686 FAL458617:FAM458686 FKH458617:FKI458686 FUD458617:FUE458686 GDZ458617:GEA458686 GNV458617:GNW458686 GXR458617:GXS458686 HHN458617:HHO458686 HRJ458617:HRK458686 IBF458617:IBG458686 ILB458617:ILC458686 IUX458617:IUY458686 JET458617:JEU458686 JOP458617:JOQ458686 JYL458617:JYM458686 KIH458617:KII458686 KSD458617:KSE458686 LBZ458617:LCA458686 LLV458617:LLW458686 LVR458617:LVS458686 MFN458617:MFO458686 MPJ458617:MPK458686 MZF458617:MZG458686 NJB458617:NJC458686 NSX458617:NSY458686 OCT458617:OCU458686 OMP458617:OMQ458686 OWL458617:OWM458686 PGH458617:PGI458686 PQD458617:PQE458686 PZZ458617:QAA458686 QJV458617:QJW458686 QTR458617:QTS458686 RDN458617:RDO458686 RNJ458617:RNK458686 RXF458617:RXG458686 SHB458617:SHC458686 SQX458617:SQY458686 TAT458617:TAU458686 TKP458617:TKQ458686 TUL458617:TUM458686 UEH458617:UEI458686 UOD458617:UOE458686 UXZ458617:UYA458686 VHV458617:VHW458686 VRR458617:VRS458686 WBN458617:WBO458686 WLJ458617:WLK458686 WVF458617:WVG458686 IT524153:IU524222 SP524153:SQ524222 ACL524153:ACM524222 AMH524153:AMI524222 AWD524153:AWE524222 BFZ524153:BGA524222 BPV524153:BPW524222 BZR524153:BZS524222 CJN524153:CJO524222 CTJ524153:CTK524222 DDF524153:DDG524222 DNB524153:DNC524222 DWX524153:DWY524222 EGT524153:EGU524222 EQP524153:EQQ524222 FAL524153:FAM524222 FKH524153:FKI524222 FUD524153:FUE524222 GDZ524153:GEA524222 GNV524153:GNW524222 GXR524153:GXS524222 HHN524153:HHO524222 HRJ524153:HRK524222 IBF524153:IBG524222 ILB524153:ILC524222 IUX524153:IUY524222 JET524153:JEU524222 JOP524153:JOQ524222 JYL524153:JYM524222 KIH524153:KII524222 KSD524153:KSE524222 LBZ524153:LCA524222 LLV524153:LLW524222 LVR524153:LVS524222 MFN524153:MFO524222 MPJ524153:MPK524222 MZF524153:MZG524222 NJB524153:NJC524222 NSX524153:NSY524222 OCT524153:OCU524222 OMP524153:OMQ524222 OWL524153:OWM524222 PGH524153:PGI524222 PQD524153:PQE524222 PZZ524153:QAA524222 QJV524153:QJW524222 QTR524153:QTS524222 RDN524153:RDO524222 RNJ524153:RNK524222 RXF524153:RXG524222 SHB524153:SHC524222 SQX524153:SQY524222 TAT524153:TAU524222 TKP524153:TKQ524222 TUL524153:TUM524222 UEH524153:UEI524222 UOD524153:UOE524222 UXZ524153:UYA524222 VHV524153:VHW524222 VRR524153:VRS524222 WBN524153:WBO524222 WLJ524153:WLK524222 WVF524153:WVG524222 IT589689:IU589758 SP589689:SQ589758 ACL589689:ACM589758 AMH589689:AMI589758 AWD589689:AWE589758 BFZ589689:BGA589758 BPV589689:BPW589758 BZR589689:BZS589758 CJN589689:CJO589758 CTJ589689:CTK589758 DDF589689:DDG589758 DNB589689:DNC589758 DWX589689:DWY589758 EGT589689:EGU589758 EQP589689:EQQ589758 FAL589689:FAM589758 FKH589689:FKI589758 FUD589689:FUE589758 GDZ589689:GEA589758 GNV589689:GNW589758 GXR589689:GXS589758 HHN589689:HHO589758 HRJ589689:HRK589758 IBF589689:IBG589758 ILB589689:ILC589758 IUX589689:IUY589758 JET589689:JEU589758 JOP589689:JOQ589758 JYL589689:JYM589758 KIH589689:KII589758 KSD589689:KSE589758 LBZ589689:LCA589758 LLV589689:LLW589758 LVR589689:LVS589758 MFN589689:MFO589758 MPJ589689:MPK589758 MZF589689:MZG589758 NJB589689:NJC589758 NSX589689:NSY589758 OCT589689:OCU589758 OMP589689:OMQ589758 OWL589689:OWM589758 PGH589689:PGI589758 PQD589689:PQE589758 PZZ589689:QAA589758 QJV589689:QJW589758 QTR589689:QTS589758 RDN589689:RDO589758 RNJ589689:RNK589758 RXF589689:RXG589758 SHB589689:SHC589758 SQX589689:SQY589758 TAT589689:TAU589758 TKP589689:TKQ589758 TUL589689:TUM589758 UEH589689:UEI589758 UOD589689:UOE589758 UXZ589689:UYA589758 VHV589689:VHW589758 VRR589689:VRS589758 WBN589689:WBO589758 WLJ589689:WLK589758 WVF589689:WVG589758 IT655225:IU655294 SP655225:SQ655294 ACL655225:ACM655294 AMH655225:AMI655294 AWD655225:AWE655294 BFZ655225:BGA655294 BPV655225:BPW655294 BZR655225:BZS655294 CJN655225:CJO655294 CTJ655225:CTK655294 DDF655225:DDG655294 DNB655225:DNC655294 DWX655225:DWY655294 EGT655225:EGU655294 EQP655225:EQQ655294 FAL655225:FAM655294 FKH655225:FKI655294 FUD655225:FUE655294 GDZ655225:GEA655294 GNV655225:GNW655294 GXR655225:GXS655294 HHN655225:HHO655294 HRJ655225:HRK655294 IBF655225:IBG655294 ILB655225:ILC655294 IUX655225:IUY655294 JET655225:JEU655294 JOP655225:JOQ655294 JYL655225:JYM655294 KIH655225:KII655294 KSD655225:KSE655294 LBZ655225:LCA655294 LLV655225:LLW655294 LVR655225:LVS655294 MFN655225:MFO655294 MPJ655225:MPK655294 MZF655225:MZG655294 NJB655225:NJC655294 NSX655225:NSY655294 OCT655225:OCU655294 OMP655225:OMQ655294 OWL655225:OWM655294 PGH655225:PGI655294 PQD655225:PQE655294 PZZ655225:QAA655294 QJV655225:QJW655294 QTR655225:QTS655294 RDN655225:RDO655294 RNJ655225:RNK655294 RXF655225:RXG655294 SHB655225:SHC655294 SQX655225:SQY655294 TAT655225:TAU655294 TKP655225:TKQ655294 TUL655225:TUM655294 UEH655225:UEI655294 UOD655225:UOE655294 UXZ655225:UYA655294 VHV655225:VHW655294 VRR655225:VRS655294 WBN655225:WBO655294 WLJ655225:WLK655294 WVF655225:WVG655294 IT720761:IU720830 SP720761:SQ720830 ACL720761:ACM720830 AMH720761:AMI720830 AWD720761:AWE720830 BFZ720761:BGA720830 BPV720761:BPW720830 BZR720761:BZS720830 CJN720761:CJO720830 CTJ720761:CTK720830 DDF720761:DDG720830 DNB720761:DNC720830 DWX720761:DWY720830 EGT720761:EGU720830 EQP720761:EQQ720830 FAL720761:FAM720830 FKH720761:FKI720830 FUD720761:FUE720830 GDZ720761:GEA720830 GNV720761:GNW720830 GXR720761:GXS720830 HHN720761:HHO720830 HRJ720761:HRK720830 IBF720761:IBG720830 ILB720761:ILC720830 IUX720761:IUY720830 JET720761:JEU720830 JOP720761:JOQ720830 JYL720761:JYM720830 KIH720761:KII720830 KSD720761:KSE720830 LBZ720761:LCA720830 LLV720761:LLW720830 LVR720761:LVS720830 MFN720761:MFO720830 MPJ720761:MPK720830 MZF720761:MZG720830 NJB720761:NJC720830 NSX720761:NSY720830 OCT720761:OCU720830 OMP720761:OMQ720830 OWL720761:OWM720830 PGH720761:PGI720830 PQD720761:PQE720830 PZZ720761:QAA720830 QJV720761:QJW720830 QTR720761:QTS720830 RDN720761:RDO720830 RNJ720761:RNK720830 RXF720761:RXG720830 SHB720761:SHC720830 SQX720761:SQY720830 TAT720761:TAU720830 TKP720761:TKQ720830 TUL720761:TUM720830 UEH720761:UEI720830 UOD720761:UOE720830 UXZ720761:UYA720830 VHV720761:VHW720830 VRR720761:VRS720830 WBN720761:WBO720830 WLJ720761:WLK720830 WVF720761:WVG720830 IT786297:IU786366 SP786297:SQ786366 ACL786297:ACM786366 AMH786297:AMI786366 AWD786297:AWE786366 BFZ786297:BGA786366 BPV786297:BPW786366 BZR786297:BZS786366 CJN786297:CJO786366 CTJ786297:CTK786366 DDF786297:DDG786366 DNB786297:DNC786366 DWX786297:DWY786366 EGT786297:EGU786366 EQP786297:EQQ786366 FAL786297:FAM786366 FKH786297:FKI786366 FUD786297:FUE786366 GDZ786297:GEA786366 GNV786297:GNW786366 GXR786297:GXS786366 HHN786297:HHO786366 HRJ786297:HRK786366 IBF786297:IBG786366 ILB786297:ILC786366 IUX786297:IUY786366 JET786297:JEU786366 JOP786297:JOQ786366 JYL786297:JYM786366 KIH786297:KII786366 KSD786297:KSE786366 LBZ786297:LCA786366 LLV786297:LLW786366 LVR786297:LVS786366 MFN786297:MFO786366 MPJ786297:MPK786366 MZF786297:MZG786366 NJB786297:NJC786366 NSX786297:NSY786366 OCT786297:OCU786366 OMP786297:OMQ786366 OWL786297:OWM786366 PGH786297:PGI786366 PQD786297:PQE786366 PZZ786297:QAA786366 QJV786297:QJW786366 QTR786297:QTS786366 RDN786297:RDO786366 RNJ786297:RNK786366 RXF786297:RXG786366 SHB786297:SHC786366 SQX786297:SQY786366 TAT786297:TAU786366 TKP786297:TKQ786366 TUL786297:TUM786366 UEH786297:UEI786366 UOD786297:UOE786366 UXZ786297:UYA786366 VHV786297:VHW786366 VRR786297:VRS786366 WBN786297:WBO786366 WLJ786297:WLK786366 WVF786297:WVG786366 IT851833:IU851902 SP851833:SQ851902 ACL851833:ACM851902 AMH851833:AMI851902 AWD851833:AWE851902 BFZ851833:BGA851902 BPV851833:BPW851902 BZR851833:BZS851902 CJN851833:CJO851902 CTJ851833:CTK851902 DDF851833:DDG851902 DNB851833:DNC851902 DWX851833:DWY851902 EGT851833:EGU851902 EQP851833:EQQ851902 FAL851833:FAM851902 FKH851833:FKI851902 FUD851833:FUE851902 GDZ851833:GEA851902 GNV851833:GNW851902 GXR851833:GXS851902 HHN851833:HHO851902 HRJ851833:HRK851902 IBF851833:IBG851902 ILB851833:ILC851902 IUX851833:IUY851902 JET851833:JEU851902 JOP851833:JOQ851902 JYL851833:JYM851902 KIH851833:KII851902 KSD851833:KSE851902 LBZ851833:LCA851902 LLV851833:LLW851902 LVR851833:LVS851902 MFN851833:MFO851902 MPJ851833:MPK851902 MZF851833:MZG851902 NJB851833:NJC851902 NSX851833:NSY851902 OCT851833:OCU851902 OMP851833:OMQ851902 OWL851833:OWM851902 PGH851833:PGI851902 PQD851833:PQE851902 PZZ851833:QAA851902 QJV851833:QJW851902 QTR851833:QTS851902 RDN851833:RDO851902 RNJ851833:RNK851902 RXF851833:RXG851902 SHB851833:SHC851902 SQX851833:SQY851902 TAT851833:TAU851902 TKP851833:TKQ851902 TUL851833:TUM851902 UEH851833:UEI851902 UOD851833:UOE851902 UXZ851833:UYA851902 VHV851833:VHW851902 VRR851833:VRS851902 WBN851833:WBO851902 WLJ851833:WLK851902 WVF851833:WVG851902 IT917369:IU917438 SP917369:SQ917438 ACL917369:ACM917438 AMH917369:AMI917438 AWD917369:AWE917438 BFZ917369:BGA917438 BPV917369:BPW917438 BZR917369:BZS917438 CJN917369:CJO917438 CTJ917369:CTK917438 DDF917369:DDG917438 DNB917369:DNC917438 DWX917369:DWY917438 EGT917369:EGU917438 EQP917369:EQQ917438 FAL917369:FAM917438 FKH917369:FKI917438 FUD917369:FUE917438 GDZ917369:GEA917438 GNV917369:GNW917438 GXR917369:GXS917438 HHN917369:HHO917438 HRJ917369:HRK917438 IBF917369:IBG917438 ILB917369:ILC917438 IUX917369:IUY917438 JET917369:JEU917438 JOP917369:JOQ917438 JYL917369:JYM917438 KIH917369:KII917438 KSD917369:KSE917438 LBZ917369:LCA917438 LLV917369:LLW917438 LVR917369:LVS917438 MFN917369:MFO917438 MPJ917369:MPK917438 MZF917369:MZG917438 NJB917369:NJC917438 NSX917369:NSY917438 OCT917369:OCU917438 OMP917369:OMQ917438 OWL917369:OWM917438 PGH917369:PGI917438 PQD917369:PQE917438 PZZ917369:QAA917438 QJV917369:QJW917438 QTR917369:QTS917438 RDN917369:RDO917438 RNJ917369:RNK917438 RXF917369:RXG917438 SHB917369:SHC917438 SQX917369:SQY917438 TAT917369:TAU917438 TKP917369:TKQ917438 TUL917369:TUM917438 UEH917369:UEI917438 UOD917369:UOE917438 UXZ917369:UYA917438 VHV917369:VHW917438 VRR917369:VRS917438 WBN917369:WBO917438 WLJ917369:WLK917438 WVF917369:WVG917438 IT982905:IU982974 SP982905:SQ982974 ACL982905:ACM982974 AMH982905:AMI982974 AWD982905:AWE982974 BFZ982905:BGA982974 BPV982905:BPW982974 BZR982905:BZS982974 CJN982905:CJO982974 CTJ982905:CTK982974 DDF982905:DDG982974 DNB982905:DNC982974 DWX982905:DWY982974 EGT982905:EGU982974 EQP982905:EQQ982974 FAL982905:FAM982974 FKH982905:FKI982974 FUD982905:FUE982974 GDZ982905:GEA982974 GNV982905:GNW982974 GXR982905:GXS982974 HHN982905:HHO982974 HRJ982905:HRK982974 IBF982905:IBG982974 ILB982905:ILC982974 IUX982905:IUY982974 JET982905:JEU982974 JOP982905:JOQ982974 JYL982905:JYM982974 KIH982905:KII982974 KSD982905:KSE982974 LBZ982905:LCA982974 LLV982905:LLW982974 LVR982905:LVS982974 MFN982905:MFO982974 MPJ982905:MPK982974 MZF982905:MZG982974 NJB982905:NJC982974 NSX982905:NSY982974 OCT982905:OCU982974 OMP982905:OMQ982974 OWL982905:OWM982974 PGH982905:PGI982974 PQD982905:PQE982974 PZZ982905:QAA982974 QJV982905:QJW982974 QTR982905:QTS982974 RDN982905:RDO982974 RNJ982905:RNK982974 RXF982905:RXG982974 SHB982905:SHC982974 SQX982905:SQY982974 TAT982905:TAU982974 TKP982905:TKQ982974 TUL982905:TUM982974 UEH982905:UEI982974 UOD982905:UOE982974 UXZ982905:UYA982974 VHV982905:VHW982974 VRR982905:VRS982974 WBN982905:WBO982974 WLJ982905:WLK982974 WVF982905:WVG982974 AWD4:AWE9 AMH4:AMI9 ACL4:ACM9 SP4:SQ9 IT4:IU9 WVF4:WVG9 WBN4:WBO9 WLJ4:WLK9 VRR4:VRS9 VHV4:VHW9 UXZ4:UYA9 UOD4:UOE9 UEH4:UEI9 TUL4:TUM9 TKP4:TKQ9 TAT4:TAU9 SQX4:SQY9 SHB4:SHC9 RXF4:RXG9 RNJ4:RNK9 RDN4:RDO9 QTR4:QTS9 QJV4:QJW9 PZZ4:QAA9 PQD4:PQE9 PGH4:PGI9 OWL4:OWM9 OMP4:OMQ9 OCT4:OCU9 NSX4:NSY9 NJB4:NJC9 MZF4:MZG9 MPJ4:MPK9 MFN4:MFO9 LVR4:LVS9 LLV4:LLW9 LBZ4:LCA9 KSD4:KSE9 KIH4:KII9 JYL4:JYM9 JOP4:JOQ9 JET4:JEU9 IUX4:IUY9 ILB4:ILC9 IBF4:IBG9 HRJ4:HRK9 HHN4:HHO9 GXR4:GXS9 GNV4:GNW9 GDZ4:GEA9 FUD4:FUE9 FKH4:FKI9 FAL4:FAM9 EQP4:EQQ9 EGT4:EGU9 DWX4:DWY9 DNB4:DNC9 DDF4:DDG9 CTJ4:CTK9 CJN4:CJO9 BZR4:BZS9 BPV4:BPW9 BFZ4:BGA9" xr:uid="{F7018860-1990-46EF-AB91-C5E3C7557B3A}">
      <formula1>"-,○,●"</formula1>
    </dataValidation>
  </dataValidations>
  <pageMargins left="0.43307086614173229" right="0.39370078740157483" top="0.51181102362204722" bottom="0.55118110236220474" header="0.31496062992125984" footer="0.31496062992125984"/>
  <pageSetup paperSize="9" scale="42" fitToHeight="0" orientation="landscape" r:id="rId1"/>
  <headerFooter>
    <oddFooter>&amp;C&amp;"ＭＳ Ｐ明朝,標準"&amp;P/&amp;N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E12CD6-B670-4900-A671-6478BB4F8A39}">
          <x14:formula1>
            <xm:f>リスト!$J$101:$J$103</xm:f>
          </x14:formula1>
          <xm:sqref>P4:P9</xm:sqref>
        </x14:dataValidation>
        <x14:dataValidation type="list" allowBlank="1" showInputMessage="1" showErrorMessage="1" xr:uid="{A8E37B07-74E0-466B-B887-B29BD6798FD5}">
          <x14:formula1>
            <xm:f>リスト!$J$78:$J$84</xm:f>
          </x14:formula1>
          <xm:sqref>T4:T9</xm:sqref>
        </x14:dataValidation>
        <x14:dataValidation type="list" allowBlank="1" showInputMessage="1" showErrorMessage="1" xr:uid="{A9BED64C-4FCD-49F7-89B6-3CA4AAB544BB}">
          <x14:formula1>
            <xm:f>リスト!$J$94:$J$97</xm:f>
          </x14:formula1>
          <xm:sqref>U4:U9</xm:sqref>
        </x14:dataValidation>
        <x14:dataValidation type="list" allowBlank="1" showInputMessage="1" showErrorMessage="1" xr:uid="{ED913B91-3845-4B1C-B6A0-E1819499E59A}">
          <x14:formula1>
            <xm:f>リスト!$J$40:$J$43</xm:f>
          </x14:formula1>
          <xm:sqref>N4:N9</xm:sqref>
        </x14:dataValidation>
        <x14:dataValidation type="list" allowBlank="1" showInputMessage="1" showErrorMessage="1" xr:uid="{085E1275-F408-4D3C-A9EC-4E2DC37FA6FC}">
          <x14:formula1>
            <xm:f>リスト!$J$33:$J$36</xm:f>
          </x14:formula1>
          <xm:sqref>M4:M9</xm:sqref>
        </x14:dataValidation>
        <x14:dataValidation type="list" allowBlank="1" showInputMessage="1" showErrorMessage="1" xr:uid="{3D31BDD3-EA3B-4AD3-979C-CEF1AFDC3B99}">
          <x14:formula1>
            <xm:f>リスト!$J$26:$J$29</xm:f>
          </x14:formula1>
          <xm:sqref>L4:L9</xm:sqref>
        </x14:dataValidation>
        <x14:dataValidation type="list" allowBlank="1" showInputMessage="1" showErrorMessage="1" xr:uid="{1D373D83-EBE0-49B1-B1FF-C957B22D172A}">
          <x14:formula1>
            <xm:f>リスト!$J$7:$J$22</xm:f>
          </x14:formula1>
          <xm:sqref>H4:H9</xm:sqref>
        </x14:dataValidation>
        <x14:dataValidation type="list" allowBlank="1" showInputMessage="1" xr:uid="{5C9D3D74-7707-4C1A-AF99-2DFAA0DEC860}">
          <x14:formula1>
            <xm:f>リスト!$J$47:$J$74</xm:f>
          </x14:formula1>
          <xm:sqref>O4:O9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N4"/>
  <sheetViews>
    <sheetView showGridLines="0" view="pageBreakPreview" zoomScaleNormal="115" zoomScaleSheetLayoutView="100" workbookViewId="0">
      <pane ySplit="2" topLeftCell="A3" activePane="bottomLeft" state="frozen"/>
      <selection pane="bottomLeft" activeCell="A3" sqref="A3"/>
    </sheetView>
  </sheetViews>
  <sheetFormatPr defaultColWidth="2.7109375" defaultRowHeight="12" customHeight="1"/>
  <cols>
    <col min="1" max="1" width="2.7109375" style="139"/>
    <col min="2" max="2" width="9.42578125" style="139" bestFit="1" customWidth="1"/>
    <col min="3" max="3" width="24.140625" style="139" bestFit="1" customWidth="1"/>
    <col min="4" max="4" width="2.7109375" style="121"/>
    <col min="5" max="5" width="64.7109375" style="121" customWidth="1"/>
    <col min="6" max="6" width="8" style="121" bestFit="1" customWidth="1"/>
    <col min="7" max="7" width="36.42578125" style="121" customWidth="1"/>
    <col min="8" max="8" width="66" style="121" customWidth="1"/>
    <col min="9" max="9" width="2.7109375" style="121"/>
    <col min="10" max="10" width="9.42578125" style="120" bestFit="1" customWidth="1"/>
    <col min="11" max="11" width="14.140625" style="121" bestFit="1" customWidth="1"/>
    <col min="12" max="13" width="14.140625" style="121" customWidth="1"/>
    <col min="14" max="14" width="15.5703125" style="121" bestFit="1" customWidth="1"/>
    <col min="15" max="16384" width="2.7109375" style="139"/>
  </cols>
  <sheetData>
    <row r="1" spans="1:14" ht="12" customHeight="1">
      <c r="A1" s="138"/>
      <c r="J1" s="88" t="s">
        <v>42</v>
      </c>
      <c r="K1" s="88" t="s">
        <v>43</v>
      </c>
      <c r="L1" s="89" t="s">
        <v>44</v>
      </c>
      <c r="M1" s="88" t="s">
        <v>45</v>
      </c>
      <c r="N1" s="88" t="s">
        <v>46</v>
      </c>
    </row>
    <row r="2" spans="1:14" ht="12" customHeight="1">
      <c r="A2" s="121"/>
      <c r="B2" s="140" t="s">
        <v>106</v>
      </c>
      <c r="C2" s="141" t="s">
        <v>137</v>
      </c>
      <c r="D2" s="142"/>
      <c r="E2" s="143" t="s">
        <v>47</v>
      </c>
      <c r="F2" s="140" t="s">
        <v>138</v>
      </c>
      <c r="G2" s="140" t="s">
        <v>139</v>
      </c>
      <c r="H2" s="141" t="s">
        <v>56</v>
      </c>
      <c r="J2" s="91"/>
      <c r="K2" s="92"/>
      <c r="L2" s="92"/>
      <c r="M2" s="92"/>
      <c r="N2" s="92"/>
    </row>
    <row r="3" spans="1:14">
      <c r="A3" s="121"/>
      <c r="B3" s="144" t="s">
        <v>126</v>
      </c>
      <c r="C3" s="145" t="s">
        <v>140</v>
      </c>
      <c r="D3" s="146" t="s">
        <v>141</v>
      </c>
      <c r="E3" s="147" t="s">
        <v>142</v>
      </c>
      <c r="F3" s="148"/>
      <c r="G3" s="146"/>
      <c r="H3" s="149"/>
      <c r="J3" s="97"/>
      <c r="K3" s="92"/>
      <c r="L3" s="92"/>
      <c r="M3" s="92"/>
      <c r="N3" s="92"/>
    </row>
    <row r="4" spans="1:14" ht="12" customHeight="1">
      <c r="B4" s="150"/>
      <c r="C4" s="150"/>
      <c r="D4" s="151"/>
      <c r="E4" s="151"/>
      <c r="F4" s="151"/>
      <c r="G4" s="151"/>
      <c r="H4" s="151"/>
    </row>
  </sheetData>
  <autoFilter ref="A2:N3" xr:uid="{09499E3D-B045-4CA4-8B3D-3DCEEFCA773C}"/>
  <phoneticPr fontId="7"/>
  <pageMargins left="0.23622047244094491" right="0.23622047244094491" top="0.35433070866141736" bottom="0.35433070866141736" header="0.11811023622047245" footer="0.11811023622047245"/>
  <pageSetup paperSize="9" scale="66" fitToHeight="0" orientation="landscape" r:id="rId1"/>
  <headerFooter alignWithMargins="0">
    <oddFooter>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B1C35-ED69-4DC2-B706-05225695F244}">
  <sheetPr codeName="Sheet17"/>
  <dimension ref="A1:V103"/>
  <sheetViews>
    <sheetView showGridLines="0" zoomScaleNormal="100" workbookViewId="0">
      <selection activeCell="J7" sqref="J7:J22"/>
    </sheetView>
  </sheetViews>
  <sheetFormatPr defaultRowHeight="15"/>
  <cols>
    <col min="10" max="10" width="25.7109375" bestFit="1" customWidth="1"/>
    <col min="13" max="13" width="25.7109375" bestFit="1" customWidth="1"/>
    <col min="16" max="16" width="25.7109375" bestFit="1" customWidth="1"/>
    <col min="19" max="19" width="25.7109375" bestFit="1" customWidth="1"/>
  </cols>
  <sheetData>
    <row r="1" spans="1:22" ht="18.75">
      <c r="A1" s="2" t="s">
        <v>143</v>
      </c>
      <c r="D1" s="2"/>
    </row>
    <row r="4" spans="1:22">
      <c r="A4" t="s">
        <v>144</v>
      </c>
      <c r="D4" t="s">
        <v>145</v>
      </c>
      <c r="I4" t="s">
        <v>145</v>
      </c>
      <c r="L4" t="s">
        <v>146</v>
      </c>
      <c r="O4" t="s">
        <v>147</v>
      </c>
      <c r="R4" t="s">
        <v>148</v>
      </c>
      <c r="U4" t="s">
        <v>149</v>
      </c>
    </row>
    <row r="5" spans="1:22">
      <c r="A5" t="s">
        <v>150</v>
      </c>
      <c r="D5" t="s">
        <v>151</v>
      </c>
      <c r="I5" t="s">
        <v>151</v>
      </c>
      <c r="L5" t="s">
        <v>152</v>
      </c>
      <c r="O5" t="s">
        <v>153</v>
      </c>
      <c r="R5" t="s">
        <v>153</v>
      </c>
      <c r="U5" t="s">
        <v>154</v>
      </c>
    </row>
    <row r="6" spans="1:22">
      <c r="A6" s="3" t="s">
        <v>155</v>
      </c>
      <c r="B6" s="3" t="s">
        <v>156</v>
      </c>
      <c r="D6" s="3" t="s">
        <v>155</v>
      </c>
      <c r="E6" s="3" t="s">
        <v>156</v>
      </c>
      <c r="I6" s="3" t="s">
        <v>155</v>
      </c>
      <c r="J6" s="3" t="s">
        <v>156</v>
      </c>
      <c r="L6" s="3" t="s">
        <v>155</v>
      </c>
      <c r="M6" s="3" t="s">
        <v>156</v>
      </c>
      <c r="O6" s="3" t="s">
        <v>155</v>
      </c>
      <c r="P6" s="3" t="s">
        <v>156</v>
      </c>
      <c r="R6" s="3" t="s">
        <v>155</v>
      </c>
      <c r="S6" s="3" t="s">
        <v>156</v>
      </c>
      <c r="U6" s="3" t="s">
        <v>155</v>
      </c>
      <c r="V6" s="3" t="s">
        <v>156</v>
      </c>
    </row>
    <row r="7" spans="1:22">
      <c r="A7" s="4">
        <v>1</v>
      </c>
      <c r="B7" s="4" t="s">
        <v>157</v>
      </c>
      <c r="C7" s="25"/>
      <c r="D7" s="4">
        <v>1</v>
      </c>
      <c r="E7" s="4" t="s">
        <v>22</v>
      </c>
      <c r="I7" s="4">
        <v>1</v>
      </c>
      <c r="J7" s="4" t="s">
        <v>90</v>
      </c>
      <c r="L7" s="4">
        <v>1</v>
      </c>
      <c r="M7" s="4" t="s">
        <v>90</v>
      </c>
      <c r="O7" s="4">
        <v>1</v>
      </c>
      <c r="P7" s="4" t="s">
        <v>158</v>
      </c>
      <c r="R7" s="4">
        <v>1</v>
      </c>
      <c r="S7" s="4" t="s">
        <v>158</v>
      </c>
      <c r="U7" s="4">
        <v>1</v>
      </c>
      <c r="V7" s="4" t="s">
        <v>159</v>
      </c>
    </row>
    <row r="8" spans="1:22">
      <c r="A8" s="4">
        <v>2</v>
      </c>
      <c r="B8" s="4" t="s">
        <v>160</v>
      </c>
      <c r="C8" s="25"/>
      <c r="D8" s="4">
        <v>2</v>
      </c>
      <c r="E8" s="4" t="s">
        <v>161</v>
      </c>
      <c r="I8" s="4">
        <v>2</v>
      </c>
      <c r="J8" s="4" t="s">
        <v>162</v>
      </c>
      <c r="L8" s="4">
        <v>2</v>
      </c>
      <c r="M8" s="4" t="s">
        <v>162</v>
      </c>
      <c r="O8" s="4">
        <v>2</v>
      </c>
      <c r="P8" s="4" t="s">
        <v>163</v>
      </c>
      <c r="R8" s="4">
        <v>2</v>
      </c>
      <c r="S8" s="4" t="s">
        <v>163</v>
      </c>
      <c r="U8" s="4">
        <v>2</v>
      </c>
      <c r="V8" s="4" t="s">
        <v>164</v>
      </c>
    </row>
    <row r="9" spans="1:22">
      <c r="A9" s="4">
        <v>3</v>
      </c>
      <c r="B9" s="4" t="s">
        <v>165</v>
      </c>
      <c r="D9" s="4">
        <v>3</v>
      </c>
      <c r="E9" s="4" t="s">
        <v>84</v>
      </c>
      <c r="I9" s="4">
        <v>3</v>
      </c>
      <c r="J9" s="4" t="s">
        <v>166</v>
      </c>
      <c r="L9" s="4">
        <v>3</v>
      </c>
      <c r="M9" s="4" t="s">
        <v>166</v>
      </c>
      <c r="O9" s="4">
        <v>3</v>
      </c>
      <c r="P9" s="4" t="s">
        <v>167</v>
      </c>
      <c r="R9" s="4">
        <v>3</v>
      </c>
      <c r="S9" s="4" t="s">
        <v>167</v>
      </c>
      <c r="U9" s="4">
        <v>3</v>
      </c>
      <c r="V9" s="4" t="s">
        <v>69</v>
      </c>
    </row>
    <row r="10" spans="1:22">
      <c r="I10" s="4">
        <v>4</v>
      </c>
      <c r="J10" s="4" t="s">
        <v>130</v>
      </c>
      <c r="L10" s="4">
        <v>4</v>
      </c>
      <c r="M10" s="4" t="s">
        <v>130</v>
      </c>
      <c r="O10" s="4">
        <v>4</v>
      </c>
      <c r="P10" s="4" t="s">
        <v>168</v>
      </c>
      <c r="R10" s="4">
        <v>4</v>
      </c>
      <c r="S10" s="4" t="s">
        <v>168</v>
      </c>
    </row>
    <row r="11" spans="1:22">
      <c r="A11" t="s">
        <v>169</v>
      </c>
      <c r="I11" s="4">
        <v>5</v>
      </c>
      <c r="J11" s="4" t="s">
        <v>170</v>
      </c>
      <c r="L11" s="4">
        <v>5</v>
      </c>
      <c r="M11" s="4" t="s">
        <v>170</v>
      </c>
      <c r="O11" s="4">
        <v>5</v>
      </c>
      <c r="P11" s="4" t="s">
        <v>171</v>
      </c>
      <c r="R11" s="4">
        <v>5</v>
      </c>
      <c r="S11" s="4" t="s">
        <v>171</v>
      </c>
      <c r="U11" t="s">
        <v>172</v>
      </c>
    </row>
    <row r="12" spans="1:22">
      <c r="A12" s="3" t="s">
        <v>155</v>
      </c>
      <c r="B12" s="3" t="s">
        <v>156</v>
      </c>
      <c r="I12" s="4">
        <v>6</v>
      </c>
      <c r="J12" s="4" t="s">
        <v>173</v>
      </c>
      <c r="L12" s="4">
        <v>6</v>
      </c>
      <c r="M12" s="4" t="s">
        <v>173</v>
      </c>
      <c r="O12" s="4">
        <v>6</v>
      </c>
      <c r="P12" s="4" t="s">
        <v>174</v>
      </c>
      <c r="R12" s="4">
        <v>6</v>
      </c>
      <c r="S12" s="4" t="s">
        <v>174</v>
      </c>
      <c r="U12" s="3" t="s">
        <v>155</v>
      </c>
      <c r="V12" s="3" t="s">
        <v>156</v>
      </c>
    </row>
    <row r="13" spans="1:22">
      <c r="A13" s="4">
        <v>1</v>
      </c>
      <c r="B13" s="4" t="s">
        <v>125</v>
      </c>
      <c r="I13" s="4">
        <v>7</v>
      </c>
      <c r="J13" s="4" t="s">
        <v>175</v>
      </c>
      <c r="L13" s="4">
        <v>7</v>
      </c>
      <c r="M13" s="4" t="s">
        <v>175</v>
      </c>
      <c r="O13" s="4">
        <v>7</v>
      </c>
      <c r="P13" s="4" t="s">
        <v>176</v>
      </c>
      <c r="R13" s="4">
        <v>7</v>
      </c>
      <c r="S13" s="4" t="s">
        <v>176</v>
      </c>
      <c r="U13" s="4">
        <v>1</v>
      </c>
      <c r="V13" s="4" t="s">
        <v>125</v>
      </c>
    </row>
    <row r="14" spans="1:22">
      <c r="A14" s="4">
        <v>2</v>
      </c>
      <c r="B14" s="4" t="s">
        <v>165</v>
      </c>
      <c r="H14" s="25"/>
      <c r="I14" s="26">
        <v>8</v>
      </c>
      <c r="J14" s="26" t="s">
        <v>177</v>
      </c>
      <c r="L14" s="4">
        <v>8</v>
      </c>
      <c r="M14" s="4" t="s">
        <v>122</v>
      </c>
      <c r="O14" s="4">
        <v>8</v>
      </c>
      <c r="P14" s="4" t="s">
        <v>178</v>
      </c>
      <c r="R14" s="4">
        <v>8</v>
      </c>
      <c r="S14" s="4" t="s">
        <v>178</v>
      </c>
      <c r="U14" s="4">
        <v>2</v>
      </c>
      <c r="V14" s="4" t="s">
        <v>179</v>
      </c>
    </row>
    <row r="15" spans="1:22">
      <c r="H15" s="25"/>
      <c r="I15" s="26">
        <v>9</v>
      </c>
      <c r="J15" s="26" t="s">
        <v>180</v>
      </c>
      <c r="L15" s="4">
        <v>9</v>
      </c>
      <c r="M15" s="4" t="s">
        <v>181</v>
      </c>
      <c r="O15" s="4">
        <v>9</v>
      </c>
      <c r="P15" s="4" t="s">
        <v>182</v>
      </c>
      <c r="R15" s="4">
        <v>9</v>
      </c>
      <c r="S15" s="4" t="s">
        <v>182</v>
      </c>
      <c r="U15" s="4">
        <v>3</v>
      </c>
      <c r="V15" s="4" t="s">
        <v>69</v>
      </c>
    </row>
    <row r="16" spans="1:22">
      <c r="H16" s="25"/>
      <c r="I16" s="26">
        <v>10</v>
      </c>
      <c r="J16" s="26" t="s">
        <v>183</v>
      </c>
      <c r="L16" s="4">
        <v>10</v>
      </c>
      <c r="M16" s="4" t="s">
        <v>184</v>
      </c>
      <c r="O16" s="4">
        <v>10</v>
      </c>
      <c r="P16" s="4" t="s">
        <v>185</v>
      </c>
      <c r="R16" s="4">
        <v>10</v>
      </c>
      <c r="S16" s="4" t="s">
        <v>185</v>
      </c>
    </row>
    <row r="17" spans="9:19">
      <c r="I17" s="4">
        <v>11</v>
      </c>
      <c r="J17" s="4" t="s">
        <v>122</v>
      </c>
      <c r="L17" s="4">
        <v>11</v>
      </c>
      <c r="M17" s="4" t="s">
        <v>69</v>
      </c>
      <c r="O17" s="4">
        <v>11</v>
      </c>
      <c r="P17" s="4" t="s">
        <v>186</v>
      </c>
      <c r="R17" s="4">
        <v>11</v>
      </c>
      <c r="S17" s="4" t="s">
        <v>186</v>
      </c>
    </row>
    <row r="18" spans="9:19">
      <c r="I18" s="4">
        <v>12</v>
      </c>
      <c r="J18" s="4" t="s">
        <v>181</v>
      </c>
      <c r="O18" s="4">
        <v>12</v>
      </c>
      <c r="P18" s="4" t="s">
        <v>187</v>
      </c>
      <c r="R18" s="4">
        <v>12</v>
      </c>
      <c r="S18" s="4" t="s">
        <v>187</v>
      </c>
    </row>
    <row r="19" spans="9:19">
      <c r="I19" s="4">
        <v>13</v>
      </c>
      <c r="J19" s="4" t="s">
        <v>184</v>
      </c>
      <c r="L19" t="s">
        <v>172</v>
      </c>
      <c r="O19" s="4">
        <v>13</v>
      </c>
      <c r="P19" s="4" t="s">
        <v>188</v>
      </c>
      <c r="R19" s="4">
        <v>13</v>
      </c>
      <c r="S19" s="4" t="s">
        <v>188</v>
      </c>
    </row>
    <row r="20" spans="9:19">
      <c r="I20" s="4">
        <v>14</v>
      </c>
      <c r="J20" s="4" t="s">
        <v>189</v>
      </c>
      <c r="L20" s="3" t="s">
        <v>155</v>
      </c>
      <c r="M20" s="3" t="s">
        <v>156</v>
      </c>
      <c r="O20" s="4">
        <v>14</v>
      </c>
      <c r="P20" s="4" t="s">
        <v>190</v>
      </c>
      <c r="R20" s="4">
        <v>14</v>
      </c>
      <c r="S20" s="4" t="s">
        <v>190</v>
      </c>
    </row>
    <row r="21" spans="9:19">
      <c r="I21" s="4">
        <v>15</v>
      </c>
      <c r="J21" s="4" t="s">
        <v>191</v>
      </c>
      <c r="L21" s="4">
        <v>1</v>
      </c>
      <c r="M21" s="4" t="s">
        <v>125</v>
      </c>
      <c r="O21" s="4">
        <v>15</v>
      </c>
      <c r="P21" s="4" t="s">
        <v>192</v>
      </c>
      <c r="R21" s="4">
        <v>15</v>
      </c>
      <c r="S21" s="4" t="s">
        <v>192</v>
      </c>
    </row>
    <row r="22" spans="9:19">
      <c r="I22" s="4">
        <v>16</v>
      </c>
      <c r="J22" s="4" t="s">
        <v>193</v>
      </c>
      <c r="L22" s="4">
        <v>2</v>
      </c>
      <c r="M22" s="4" t="s">
        <v>179</v>
      </c>
      <c r="O22" s="4">
        <v>16</v>
      </c>
      <c r="P22" s="4" t="s">
        <v>194</v>
      </c>
      <c r="R22" s="4">
        <v>16</v>
      </c>
      <c r="S22" s="4" t="s">
        <v>194</v>
      </c>
    </row>
    <row r="23" spans="9:19">
      <c r="L23" s="4">
        <v>3</v>
      </c>
      <c r="M23" s="4" t="s">
        <v>69</v>
      </c>
      <c r="O23" s="4">
        <v>17</v>
      </c>
      <c r="P23" s="4" t="s">
        <v>195</v>
      </c>
      <c r="R23" s="4">
        <v>17</v>
      </c>
      <c r="S23" s="4" t="s">
        <v>195</v>
      </c>
    </row>
    <row r="24" spans="9:19">
      <c r="I24" t="s">
        <v>196</v>
      </c>
      <c r="O24" s="4">
        <v>18</v>
      </c>
      <c r="P24" s="4" t="s">
        <v>197</v>
      </c>
      <c r="R24" s="4">
        <v>18</v>
      </c>
      <c r="S24" s="4" t="s">
        <v>197</v>
      </c>
    </row>
    <row r="25" spans="9:19">
      <c r="I25" s="3" t="s">
        <v>155</v>
      </c>
      <c r="J25" s="3" t="s">
        <v>156</v>
      </c>
      <c r="L25" t="s">
        <v>198</v>
      </c>
      <c r="O25" s="4">
        <v>19</v>
      </c>
      <c r="P25" s="4" t="s">
        <v>199</v>
      </c>
      <c r="R25" s="4">
        <v>19</v>
      </c>
      <c r="S25" s="4" t="s">
        <v>199</v>
      </c>
    </row>
    <row r="26" spans="9:19">
      <c r="I26" s="4">
        <v>1</v>
      </c>
      <c r="J26" s="4" t="s">
        <v>200</v>
      </c>
      <c r="L26" s="3" t="s">
        <v>155</v>
      </c>
      <c r="M26" s="3" t="s">
        <v>156</v>
      </c>
      <c r="O26" s="4">
        <v>20</v>
      </c>
      <c r="P26" s="4" t="s">
        <v>201</v>
      </c>
      <c r="R26" s="4">
        <v>20</v>
      </c>
      <c r="S26" s="4" t="s">
        <v>201</v>
      </c>
    </row>
    <row r="27" spans="9:19">
      <c r="I27" s="4">
        <v>2</v>
      </c>
      <c r="J27" s="4" t="s">
        <v>117</v>
      </c>
      <c r="L27" s="4">
        <v>1</v>
      </c>
      <c r="M27" s="4" t="s">
        <v>125</v>
      </c>
      <c r="O27" s="4">
        <v>21</v>
      </c>
      <c r="P27" s="4" t="s">
        <v>202</v>
      </c>
      <c r="R27" s="4">
        <v>21</v>
      </c>
      <c r="S27" s="4" t="s">
        <v>202</v>
      </c>
    </row>
    <row r="28" spans="9:19" ht="75">
      <c r="I28" s="4">
        <v>3</v>
      </c>
      <c r="J28" s="4" t="s">
        <v>203</v>
      </c>
      <c r="L28" s="4">
        <v>2</v>
      </c>
      <c r="M28" s="4"/>
      <c r="O28" s="4">
        <v>22</v>
      </c>
      <c r="P28" s="5" t="s">
        <v>204</v>
      </c>
      <c r="R28" s="4">
        <v>22</v>
      </c>
      <c r="S28" s="5" t="s">
        <v>204</v>
      </c>
    </row>
    <row r="29" spans="9:19" ht="30">
      <c r="I29" s="4">
        <v>4</v>
      </c>
      <c r="J29" s="4" t="s">
        <v>69</v>
      </c>
      <c r="L29" s="6"/>
      <c r="M29" s="6"/>
      <c r="O29" s="4">
        <v>23</v>
      </c>
      <c r="P29" s="5" t="s">
        <v>205</v>
      </c>
      <c r="R29" s="4">
        <v>23</v>
      </c>
      <c r="S29" s="5" t="s">
        <v>205</v>
      </c>
    </row>
    <row r="30" spans="9:19">
      <c r="L30" t="s">
        <v>153</v>
      </c>
      <c r="O30" s="4">
        <v>24</v>
      </c>
      <c r="P30" s="4" t="s">
        <v>206</v>
      </c>
      <c r="R30" s="4">
        <v>24</v>
      </c>
      <c r="S30" s="4" t="s">
        <v>206</v>
      </c>
    </row>
    <row r="31" spans="9:19">
      <c r="I31" t="s">
        <v>207</v>
      </c>
      <c r="L31" s="3" t="s">
        <v>155</v>
      </c>
      <c r="M31" s="3" t="s">
        <v>156</v>
      </c>
      <c r="O31" s="4">
        <v>25</v>
      </c>
      <c r="P31" s="5" t="s">
        <v>208</v>
      </c>
      <c r="R31" s="4">
        <v>25</v>
      </c>
      <c r="S31" s="5" t="s">
        <v>208</v>
      </c>
    </row>
    <row r="32" spans="9:19" ht="30">
      <c r="I32" s="3" t="s">
        <v>155</v>
      </c>
      <c r="J32" s="3" t="s">
        <v>156</v>
      </c>
      <c r="L32" s="4">
        <v>1</v>
      </c>
      <c r="M32" s="4" t="s">
        <v>158</v>
      </c>
      <c r="O32" s="4">
        <v>26</v>
      </c>
      <c r="P32" s="5" t="s">
        <v>209</v>
      </c>
      <c r="R32" s="4">
        <v>26</v>
      </c>
      <c r="S32" s="5" t="s">
        <v>209</v>
      </c>
    </row>
    <row r="33" spans="9:19">
      <c r="I33" s="4">
        <v>1</v>
      </c>
      <c r="J33" s="4" t="s">
        <v>133</v>
      </c>
      <c r="L33" s="4">
        <v>2</v>
      </c>
      <c r="M33" s="4" t="s">
        <v>163</v>
      </c>
      <c r="O33" s="4">
        <v>27</v>
      </c>
      <c r="P33" s="5" t="s">
        <v>210</v>
      </c>
      <c r="R33" s="4">
        <v>27</v>
      </c>
      <c r="S33" s="5" t="s">
        <v>210</v>
      </c>
    </row>
    <row r="34" spans="9:19">
      <c r="I34" s="4">
        <v>2</v>
      </c>
      <c r="J34" s="4" t="s">
        <v>117</v>
      </c>
      <c r="L34" s="4">
        <v>3</v>
      </c>
      <c r="M34" s="4" t="s">
        <v>167</v>
      </c>
      <c r="O34" s="4">
        <v>28</v>
      </c>
      <c r="P34" s="5" t="s">
        <v>211</v>
      </c>
      <c r="R34" s="4">
        <v>28</v>
      </c>
      <c r="S34" s="5" t="s">
        <v>211</v>
      </c>
    </row>
    <row r="35" spans="9:19">
      <c r="I35" s="4">
        <v>3</v>
      </c>
      <c r="J35" s="4" t="s">
        <v>123</v>
      </c>
      <c r="L35" s="4">
        <v>4</v>
      </c>
      <c r="M35" s="4" t="s">
        <v>168</v>
      </c>
      <c r="O35" s="4">
        <v>29</v>
      </c>
      <c r="P35" s="4" t="s">
        <v>69</v>
      </c>
      <c r="R35" s="4">
        <v>29</v>
      </c>
      <c r="S35" s="4" t="s">
        <v>69</v>
      </c>
    </row>
    <row r="36" spans="9:19">
      <c r="I36" s="4">
        <v>4</v>
      </c>
      <c r="J36" s="4" t="s">
        <v>69</v>
      </c>
      <c r="L36" s="4">
        <v>5</v>
      </c>
      <c r="M36" s="4" t="s">
        <v>171</v>
      </c>
    </row>
    <row r="37" spans="9:19">
      <c r="L37" s="4">
        <v>6</v>
      </c>
      <c r="M37" s="4" t="s">
        <v>174</v>
      </c>
    </row>
    <row r="38" spans="9:19">
      <c r="I38" t="s">
        <v>212</v>
      </c>
      <c r="L38" s="4">
        <v>7</v>
      </c>
      <c r="M38" s="4" t="s">
        <v>176</v>
      </c>
      <c r="O38" t="s">
        <v>213</v>
      </c>
      <c r="R38" t="s">
        <v>213</v>
      </c>
    </row>
    <row r="39" spans="9:19">
      <c r="I39" s="3" t="s">
        <v>155</v>
      </c>
      <c r="J39" s="3" t="s">
        <v>156</v>
      </c>
      <c r="L39" s="4">
        <v>8</v>
      </c>
      <c r="M39" s="4" t="s">
        <v>178</v>
      </c>
      <c r="O39" s="3" t="s">
        <v>155</v>
      </c>
      <c r="P39" s="3" t="s">
        <v>156</v>
      </c>
      <c r="R39" s="3" t="s">
        <v>155</v>
      </c>
      <c r="S39" s="3" t="s">
        <v>156</v>
      </c>
    </row>
    <row r="40" spans="9:19">
      <c r="I40" s="4">
        <v>1</v>
      </c>
      <c r="J40" s="4" t="s">
        <v>124</v>
      </c>
      <c r="L40" s="4">
        <v>9</v>
      </c>
      <c r="M40" s="4" t="s">
        <v>182</v>
      </c>
      <c r="O40" s="4">
        <v>1</v>
      </c>
      <c r="P40" s="4" t="s">
        <v>163</v>
      </c>
      <c r="R40" s="4">
        <v>1</v>
      </c>
      <c r="S40" s="4" t="s">
        <v>163</v>
      </c>
    </row>
    <row r="41" spans="9:19">
      <c r="I41" s="4">
        <v>2</v>
      </c>
      <c r="J41" s="4" t="s">
        <v>118</v>
      </c>
      <c r="L41" s="4">
        <v>10</v>
      </c>
      <c r="M41" s="4" t="s">
        <v>185</v>
      </c>
      <c r="O41" s="4">
        <v>2</v>
      </c>
      <c r="P41" s="4" t="s">
        <v>214</v>
      </c>
      <c r="R41" s="4">
        <v>2</v>
      </c>
      <c r="S41" s="4" t="s">
        <v>214</v>
      </c>
    </row>
    <row r="42" spans="9:19">
      <c r="I42" s="4">
        <v>3</v>
      </c>
      <c r="J42" s="4" t="s">
        <v>215</v>
      </c>
      <c r="L42" s="4">
        <v>11</v>
      </c>
      <c r="M42" s="4" t="s">
        <v>186</v>
      </c>
      <c r="O42" s="4">
        <v>3</v>
      </c>
      <c r="P42" s="4" t="s">
        <v>216</v>
      </c>
      <c r="R42" s="4">
        <v>3</v>
      </c>
      <c r="S42" s="4" t="s">
        <v>216</v>
      </c>
    </row>
    <row r="43" spans="9:19">
      <c r="I43" s="4">
        <v>4</v>
      </c>
      <c r="J43" s="4" t="s">
        <v>69</v>
      </c>
      <c r="L43" s="4">
        <v>12</v>
      </c>
      <c r="M43" s="4" t="s">
        <v>187</v>
      </c>
      <c r="O43" s="4">
        <v>4</v>
      </c>
      <c r="P43" s="4" t="s">
        <v>217</v>
      </c>
      <c r="R43" s="4">
        <v>4</v>
      </c>
      <c r="S43" s="4" t="s">
        <v>217</v>
      </c>
    </row>
    <row r="44" spans="9:19">
      <c r="L44" s="4">
        <v>13</v>
      </c>
      <c r="M44" s="4" t="s">
        <v>188</v>
      </c>
      <c r="O44" s="4">
        <v>5</v>
      </c>
      <c r="P44" s="4" t="s">
        <v>165</v>
      </c>
      <c r="R44" s="4">
        <v>5</v>
      </c>
      <c r="S44" s="4" t="s">
        <v>165</v>
      </c>
    </row>
    <row r="45" spans="9:19">
      <c r="I45" t="s">
        <v>218</v>
      </c>
      <c r="L45" s="4">
        <v>14</v>
      </c>
      <c r="M45" s="4" t="s">
        <v>190</v>
      </c>
    </row>
    <row r="46" spans="9:19">
      <c r="I46" s="3" t="s">
        <v>155</v>
      </c>
      <c r="J46" s="3" t="s">
        <v>156</v>
      </c>
      <c r="L46" s="4">
        <v>15</v>
      </c>
      <c r="M46" s="4" t="s">
        <v>192</v>
      </c>
    </row>
    <row r="47" spans="9:19">
      <c r="I47" s="4">
        <v>1</v>
      </c>
      <c r="J47" s="4" t="s">
        <v>163</v>
      </c>
      <c r="L47" s="4">
        <v>16</v>
      </c>
      <c r="M47" s="4" t="s">
        <v>194</v>
      </c>
      <c r="R47" t="s">
        <v>172</v>
      </c>
    </row>
    <row r="48" spans="9:19">
      <c r="I48" s="4">
        <v>2</v>
      </c>
      <c r="J48" s="4" t="s">
        <v>158</v>
      </c>
      <c r="L48" s="4">
        <v>17</v>
      </c>
      <c r="M48" s="4" t="s">
        <v>195</v>
      </c>
      <c r="R48" s="3" t="s">
        <v>155</v>
      </c>
      <c r="S48" s="3" t="s">
        <v>156</v>
      </c>
    </row>
    <row r="49" spans="9:19">
      <c r="I49" s="4">
        <v>3</v>
      </c>
      <c r="J49" s="4" t="s">
        <v>167</v>
      </c>
      <c r="L49" s="4">
        <v>18</v>
      </c>
      <c r="M49" s="4" t="s">
        <v>197</v>
      </c>
      <c r="R49" s="4">
        <v>1</v>
      </c>
      <c r="S49" s="4" t="s">
        <v>125</v>
      </c>
    </row>
    <row r="50" spans="9:19">
      <c r="I50" s="4">
        <v>4</v>
      </c>
      <c r="J50" s="4" t="s">
        <v>168</v>
      </c>
      <c r="L50" s="4">
        <v>19</v>
      </c>
      <c r="M50" s="4" t="s">
        <v>199</v>
      </c>
      <c r="R50" s="4">
        <v>2</v>
      </c>
      <c r="S50" s="4" t="s">
        <v>179</v>
      </c>
    </row>
    <row r="51" spans="9:19">
      <c r="I51" s="4">
        <v>5</v>
      </c>
      <c r="J51" s="4" t="s">
        <v>171</v>
      </c>
      <c r="L51" s="4">
        <v>20</v>
      </c>
      <c r="M51" s="4" t="s">
        <v>201</v>
      </c>
      <c r="R51" s="4">
        <v>3</v>
      </c>
      <c r="S51" s="4" t="s">
        <v>69</v>
      </c>
    </row>
    <row r="52" spans="9:19">
      <c r="I52" s="4">
        <v>6</v>
      </c>
      <c r="J52" s="4" t="s">
        <v>174</v>
      </c>
      <c r="L52" s="4">
        <v>21</v>
      </c>
      <c r="M52" s="4" t="s">
        <v>202</v>
      </c>
    </row>
    <row r="53" spans="9:19" ht="75">
      <c r="I53" s="4">
        <v>7</v>
      </c>
      <c r="J53" s="4" t="s">
        <v>176</v>
      </c>
      <c r="L53" s="4">
        <v>22</v>
      </c>
      <c r="M53" s="5" t="s">
        <v>204</v>
      </c>
    </row>
    <row r="54" spans="9:19" ht="30">
      <c r="I54" s="4">
        <v>8</v>
      </c>
      <c r="J54" s="4" t="s">
        <v>178</v>
      </c>
      <c r="L54" s="4">
        <v>23</v>
      </c>
      <c r="M54" s="5" t="s">
        <v>205</v>
      </c>
    </row>
    <row r="55" spans="9:19">
      <c r="I55" s="4">
        <v>9</v>
      </c>
      <c r="J55" s="4" t="s">
        <v>182</v>
      </c>
      <c r="L55" s="4">
        <v>24</v>
      </c>
      <c r="M55" s="5" t="s">
        <v>208</v>
      </c>
    </row>
    <row r="56" spans="9:19" ht="30">
      <c r="I56" s="4">
        <v>10</v>
      </c>
      <c r="J56" s="4" t="s">
        <v>185</v>
      </c>
      <c r="L56" s="4">
        <v>25</v>
      </c>
      <c r="M56" s="5" t="s">
        <v>209</v>
      </c>
    </row>
    <row r="57" spans="9:19">
      <c r="I57" s="4">
        <v>11</v>
      </c>
      <c r="J57" s="4" t="s">
        <v>186</v>
      </c>
      <c r="L57" s="4">
        <v>26</v>
      </c>
      <c r="M57" s="5" t="s">
        <v>210</v>
      </c>
    </row>
    <row r="58" spans="9:19">
      <c r="I58" s="4">
        <v>12</v>
      </c>
      <c r="J58" s="4" t="s">
        <v>187</v>
      </c>
      <c r="L58" s="4">
        <v>27</v>
      </c>
      <c r="M58" s="5" t="s">
        <v>211</v>
      </c>
    </row>
    <row r="59" spans="9:19">
      <c r="I59" s="4">
        <v>13</v>
      </c>
      <c r="J59" s="4" t="s">
        <v>188</v>
      </c>
      <c r="L59" s="4">
        <v>28</v>
      </c>
      <c r="M59" s="4" t="s">
        <v>69</v>
      </c>
    </row>
    <row r="60" spans="9:19">
      <c r="I60" s="4">
        <v>14</v>
      </c>
      <c r="J60" s="4" t="s">
        <v>190</v>
      </c>
    </row>
    <row r="61" spans="9:19">
      <c r="I61" s="4">
        <v>15</v>
      </c>
      <c r="J61" s="4" t="s">
        <v>192</v>
      </c>
    </row>
    <row r="62" spans="9:19">
      <c r="I62" s="4">
        <v>16</v>
      </c>
      <c r="J62" s="4" t="s">
        <v>194</v>
      </c>
      <c r="L62" t="s">
        <v>219</v>
      </c>
    </row>
    <row r="63" spans="9:19">
      <c r="I63" s="4">
        <v>17</v>
      </c>
      <c r="J63" s="4" t="s">
        <v>195</v>
      </c>
      <c r="L63" s="3" t="s">
        <v>155</v>
      </c>
      <c r="M63" s="3" t="s">
        <v>156</v>
      </c>
    </row>
    <row r="64" spans="9:19">
      <c r="I64" s="4">
        <v>18</v>
      </c>
      <c r="J64" s="4" t="s">
        <v>197</v>
      </c>
      <c r="L64" s="4">
        <v>1</v>
      </c>
      <c r="M64" s="4" t="s">
        <v>220</v>
      </c>
    </row>
    <row r="65" spans="9:13">
      <c r="I65" s="4">
        <v>19</v>
      </c>
      <c r="J65" s="4" t="s">
        <v>199</v>
      </c>
      <c r="L65" s="4">
        <v>2</v>
      </c>
      <c r="M65" s="4" t="s">
        <v>221</v>
      </c>
    </row>
    <row r="66" spans="9:13">
      <c r="I66" s="4">
        <v>20</v>
      </c>
      <c r="J66" s="4" t="s">
        <v>201</v>
      </c>
    </row>
    <row r="67" spans="9:13">
      <c r="I67" s="4">
        <v>21</v>
      </c>
      <c r="J67" s="4" t="s">
        <v>202</v>
      </c>
    </row>
    <row r="68" spans="9:13" ht="75">
      <c r="I68" s="4">
        <v>22</v>
      </c>
      <c r="J68" s="5" t="s">
        <v>204</v>
      </c>
      <c r="L68" t="s">
        <v>212</v>
      </c>
    </row>
    <row r="69" spans="9:13" ht="30">
      <c r="I69" s="4">
        <v>23</v>
      </c>
      <c r="J69" s="5" t="s">
        <v>205</v>
      </c>
      <c r="L69" s="3" t="s">
        <v>155</v>
      </c>
      <c r="M69" s="3" t="s">
        <v>156</v>
      </c>
    </row>
    <row r="70" spans="9:13">
      <c r="I70" s="4">
        <v>24</v>
      </c>
      <c r="J70" s="5" t="s">
        <v>208</v>
      </c>
      <c r="L70" s="4">
        <v>1</v>
      </c>
      <c r="M70" s="4" t="s">
        <v>124</v>
      </c>
    </row>
    <row r="71" spans="9:13" ht="30">
      <c r="I71" s="4">
        <v>25</v>
      </c>
      <c r="J71" s="5" t="s">
        <v>209</v>
      </c>
      <c r="L71" s="4">
        <v>2</v>
      </c>
      <c r="M71" s="4" t="s">
        <v>118</v>
      </c>
    </row>
    <row r="72" spans="9:13">
      <c r="I72" s="4">
        <v>26</v>
      </c>
      <c r="J72" s="5" t="s">
        <v>210</v>
      </c>
      <c r="L72" s="4">
        <v>3</v>
      </c>
      <c r="M72" s="4" t="s">
        <v>215</v>
      </c>
    </row>
    <row r="73" spans="9:13">
      <c r="I73" s="4">
        <v>27</v>
      </c>
      <c r="J73" s="5" t="s">
        <v>211</v>
      </c>
      <c r="L73" s="4">
        <v>4</v>
      </c>
      <c r="M73" s="4" t="s">
        <v>69</v>
      </c>
    </row>
    <row r="74" spans="9:13">
      <c r="I74" s="4">
        <v>28</v>
      </c>
      <c r="J74" s="4" t="s">
        <v>69</v>
      </c>
    </row>
    <row r="75" spans="9:13">
      <c r="L75" s="8" t="s">
        <v>222</v>
      </c>
      <c r="M75" s="8"/>
    </row>
    <row r="76" spans="9:13">
      <c r="I76" t="s">
        <v>223</v>
      </c>
      <c r="L76" s="9" t="s">
        <v>155</v>
      </c>
      <c r="M76" s="9" t="s">
        <v>156</v>
      </c>
    </row>
    <row r="77" spans="9:13">
      <c r="I77" s="3" t="s">
        <v>155</v>
      </c>
      <c r="J77" s="3" t="s">
        <v>156</v>
      </c>
      <c r="L77" s="10">
        <v>1</v>
      </c>
      <c r="M77" s="10" t="s">
        <v>224</v>
      </c>
    </row>
    <row r="78" spans="9:13">
      <c r="I78" s="4">
        <v>1</v>
      </c>
      <c r="J78" s="4" t="s">
        <v>225</v>
      </c>
      <c r="L78" s="10">
        <v>2</v>
      </c>
      <c r="M78" s="10" t="s">
        <v>226</v>
      </c>
    </row>
    <row r="79" spans="9:13">
      <c r="I79" s="4">
        <v>2</v>
      </c>
      <c r="J79" s="4" t="s">
        <v>227</v>
      </c>
      <c r="L79" s="10">
        <v>3</v>
      </c>
      <c r="M79" s="10" t="s">
        <v>228</v>
      </c>
    </row>
    <row r="80" spans="9:13">
      <c r="I80" s="4">
        <v>3</v>
      </c>
      <c r="J80" s="4" t="s">
        <v>229</v>
      </c>
      <c r="L80" s="10">
        <v>4</v>
      </c>
      <c r="M80" s="10" t="s">
        <v>230</v>
      </c>
    </row>
    <row r="81" spans="9:13">
      <c r="I81" s="4">
        <v>4</v>
      </c>
      <c r="J81" s="4" t="s">
        <v>231</v>
      </c>
      <c r="L81" s="10">
        <v>5</v>
      </c>
      <c r="M81" s="10" t="s">
        <v>232</v>
      </c>
    </row>
    <row r="82" spans="9:13">
      <c r="I82" s="4">
        <v>5</v>
      </c>
      <c r="J82" s="4" t="s">
        <v>233</v>
      </c>
    </row>
    <row r="83" spans="9:13">
      <c r="I83" s="4">
        <v>6</v>
      </c>
      <c r="J83" s="4" t="s">
        <v>234</v>
      </c>
    </row>
    <row r="84" spans="9:13">
      <c r="I84" s="4">
        <v>7</v>
      </c>
      <c r="J84" s="4" t="s">
        <v>69</v>
      </c>
    </row>
    <row r="86" spans="9:13">
      <c r="I86" t="s">
        <v>172</v>
      </c>
    </row>
    <row r="87" spans="9:13">
      <c r="I87" s="3" t="s">
        <v>155</v>
      </c>
      <c r="J87" s="3" t="s">
        <v>156</v>
      </c>
    </row>
    <row r="88" spans="9:13">
      <c r="I88" s="4">
        <v>1</v>
      </c>
      <c r="J88" s="4" t="s">
        <v>125</v>
      </c>
    </row>
    <row r="89" spans="9:13">
      <c r="I89" s="4">
        <v>2</v>
      </c>
      <c r="J89" s="4" t="s">
        <v>179</v>
      </c>
    </row>
    <row r="90" spans="9:13">
      <c r="I90" s="4">
        <v>3</v>
      </c>
      <c r="J90" s="4" t="s">
        <v>69</v>
      </c>
    </row>
    <row r="92" spans="9:13">
      <c r="I92" t="s">
        <v>235</v>
      </c>
    </row>
    <row r="93" spans="9:13">
      <c r="I93" s="3" t="s">
        <v>155</v>
      </c>
      <c r="J93" s="3" t="s">
        <v>156</v>
      </c>
    </row>
    <row r="94" spans="9:13">
      <c r="I94" s="4">
        <v>1</v>
      </c>
      <c r="J94" s="4" t="s">
        <v>125</v>
      </c>
    </row>
    <row r="95" spans="9:13">
      <c r="I95" s="4">
        <v>2</v>
      </c>
      <c r="J95" s="4" t="s">
        <v>135</v>
      </c>
    </row>
    <row r="96" spans="9:13">
      <c r="I96" s="4">
        <v>3</v>
      </c>
      <c r="J96" s="4" t="s">
        <v>236</v>
      </c>
    </row>
    <row r="97" spans="9:10">
      <c r="I97" s="4">
        <v>4</v>
      </c>
      <c r="J97" s="4" t="s">
        <v>69</v>
      </c>
    </row>
    <row r="99" spans="9:10">
      <c r="I99" t="s">
        <v>237</v>
      </c>
    </row>
    <row r="100" spans="9:10">
      <c r="I100" s="3" t="s">
        <v>155</v>
      </c>
      <c r="J100" s="3" t="s">
        <v>156</v>
      </c>
    </row>
    <row r="101" spans="9:10">
      <c r="I101" s="4">
        <v>1</v>
      </c>
      <c r="J101" s="4" t="s">
        <v>238</v>
      </c>
    </row>
    <row r="102" spans="9:10">
      <c r="I102" s="4">
        <v>2</v>
      </c>
      <c r="J102" s="4" t="s">
        <v>239</v>
      </c>
    </row>
    <row r="103" spans="9:10">
      <c r="I103" s="4">
        <v>3</v>
      </c>
      <c r="J103" s="4" t="s">
        <v>69</v>
      </c>
    </row>
  </sheetData>
  <phoneticPr fontId="7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745CCE6C45D646B095073FE42EE28C" ma:contentTypeVersion="11" ma:contentTypeDescription="Create a new document." ma:contentTypeScope="" ma:versionID="6128af9c2fcb860ad3f3136e7ddf3d50">
  <xsd:schema xmlns:xsd="http://www.w3.org/2001/XMLSchema" xmlns:xs="http://www.w3.org/2001/XMLSchema" xmlns:p="http://schemas.microsoft.com/office/2006/metadata/properties" xmlns:ns2="15f78722-e1ed-47e2-82f7-18f075f356ad" xmlns:ns3="5b319e80-a62e-401e-b55b-f269d30a949b" targetNamespace="http://schemas.microsoft.com/office/2006/metadata/properties" ma:root="true" ma:fieldsID="56e862e5eacfdc1f07c9093f2640601f" ns2:_="" ns3:_="">
    <xsd:import namespace="15f78722-e1ed-47e2-82f7-18f075f356ad"/>
    <xsd:import namespace="5b319e80-a62e-401e-b55b-f269d30a94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f78722-e1ed-47e2-82f7-18f075f356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47a47cd-443c-43f9-b7c7-f1e7a7478d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319e80-a62e-401e-b55b-f269d30a949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aeaf3cb-e21c-4787-abbc-31e5f5eae965}" ma:internalName="TaxCatchAll" ma:showField="CatchAllData" ma:web="5b319e80-a62e-401e-b55b-f269d30a94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f78722-e1ed-47e2-82f7-18f075f356ad">
      <Terms xmlns="http://schemas.microsoft.com/office/infopath/2007/PartnerControls"/>
    </lcf76f155ced4ddcb4097134ff3c332f>
    <TaxCatchAll xmlns="5b319e80-a62e-401e-b55b-f269d30a949b" xsi:nil="true"/>
  </documentManagement>
</p:properties>
</file>

<file path=customXml/itemProps1.xml><?xml version="1.0" encoding="utf-8"?>
<ds:datastoreItem xmlns:ds="http://schemas.openxmlformats.org/officeDocument/2006/customXml" ds:itemID="{8C817BFD-0B2A-4616-A975-586A43DFD8A7}"/>
</file>

<file path=customXml/itemProps2.xml><?xml version="1.0" encoding="utf-8"?>
<ds:datastoreItem xmlns:ds="http://schemas.openxmlformats.org/officeDocument/2006/customXml" ds:itemID="{DC2B5DAF-B0FE-4E6D-B5AA-A03AEACDA0A4}"/>
</file>

<file path=customXml/itemProps3.xml><?xml version="1.0" encoding="utf-8"?>
<ds:datastoreItem xmlns:ds="http://schemas.openxmlformats.org/officeDocument/2006/customXml" ds:itemID="{5B8AC8B9-3D75-4165-9C7F-AAD6CA152E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SBI BITS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Hironobu Negishi</dc:creator>
  <cp:keywords/>
  <dc:description/>
  <cp:lastModifiedBy/>
  <cp:revision/>
  <dcterms:created xsi:type="dcterms:W3CDTF">2019-08-20T07:27:50Z</dcterms:created>
  <dcterms:modified xsi:type="dcterms:W3CDTF">2026-06-01T07:45:04Z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0x01010097745CCE6C45D646B095073FE42EE28C</vt:lpwstr>
  </property>
  <property fmtid="{D5CDD505-2E9C-101B-9397-08002B2CF9AE}" pid="3" name="MediaServiceImageTags">
    <vt:lpwstr/>
  </property>
</Properties>
</file>